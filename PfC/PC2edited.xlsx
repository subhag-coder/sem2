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 activeTab="7"/>
  </bookViews>
  <sheets>
    <sheet name="Sheet1" sheetId="1" r:id="rId1"/>
    <sheet name="Sheet2" sheetId="2" r:id="rId2"/>
    <sheet name="Sheet11" sheetId="11" r:id="rId3"/>
    <sheet name="Sheet14" sheetId="14" r:id="rId4"/>
    <sheet name="Sheet15" sheetId="15" r:id="rId5"/>
    <sheet name="Sheet13" sheetId="13" r:id="rId6"/>
    <sheet name="Sheet12" sheetId="12" r:id="rId7"/>
    <sheet name="Sheet16" sheetId="16" r:id="rId8"/>
    <sheet name="Sheet3" sheetId="3" r:id="rId9"/>
    <sheet name="Sheet4" sheetId="4" r:id="rId10"/>
    <sheet name="Sheet5" sheetId="5" r:id="rId11"/>
    <sheet name="Sheet6" sheetId="6" r:id="rId12"/>
    <sheet name="Sheet7" sheetId="7" r:id="rId13"/>
    <sheet name="Sheet8" sheetId="8" r:id="rId14"/>
    <sheet name="Sheet9" sheetId="9" r:id="rId15"/>
    <sheet name="Sheet10" sheetId="10" r:id="rId16"/>
  </sheets>
  <calcPr calcId="124519"/>
</workbook>
</file>

<file path=xl/calcChain.xml><?xml version="1.0" encoding="utf-8"?>
<calcChain xmlns="http://schemas.openxmlformats.org/spreadsheetml/2006/main">
  <c r="C12" i="16"/>
  <c r="C8"/>
  <c r="C9"/>
  <c r="C10"/>
  <c r="C11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7"/>
  <c r="C9" i="15"/>
  <c r="C10"/>
  <c r="C11"/>
  <c r="C12"/>
  <c r="C13"/>
  <c r="C8"/>
  <c r="C27" i="13"/>
  <c r="C26"/>
  <c r="C25"/>
  <c r="D17"/>
  <c r="D18"/>
  <c r="D19"/>
  <c r="D20"/>
  <c r="D21"/>
  <c r="D22"/>
  <c r="D16"/>
  <c r="C17"/>
  <c r="C18"/>
  <c r="C19"/>
  <c r="C20"/>
  <c r="C21"/>
  <c r="C22"/>
  <c r="C16"/>
  <c r="E19" i="12"/>
  <c r="E18"/>
  <c r="E17"/>
  <c r="E16"/>
  <c r="E15"/>
  <c r="E14"/>
  <c r="E13"/>
  <c r="J11" i="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10"/>
  <c r="G9"/>
  <c r="C14" i="2"/>
  <c r="E8" i="8"/>
  <c r="K11" i="7"/>
  <c r="H20"/>
  <c r="H7"/>
  <c r="H8"/>
  <c r="H9"/>
  <c r="H10"/>
  <c r="H11"/>
  <c r="H12"/>
  <c r="H13"/>
  <c r="H14"/>
  <c r="H15"/>
  <c r="H16"/>
  <c r="H17"/>
  <c r="H18"/>
  <c r="H19"/>
  <c r="H6"/>
  <c r="G20"/>
  <c r="F20"/>
  <c r="G19"/>
  <c r="F19"/>
  <c r="G7"/>
  <c r="G8"/>
  <c r="G9"/>
  <c r="G10"/>
  <c r="G11"/>
  <c r="G12"/>
  <c r="G13"/>
  <c r="G14"/>
  <c r="G15"/>
  <c r="G16"/>
  <c r="G17"/>
  <c r="G18"/>
  <c r="G6"/>
  <c r="F7"/>
  <c r="F8"/>
  <c r="F9"/>
  <c r="F10"/>
  <c r="F11"/>
  <c r="F12"/>
  <c r="F13"/>
  <c r="F14"/>
  <c r="F15"/>
  <c r="F16"/>
  <c r="F17"/>
  <c r="F18"/>
  <c r="F6"/>
  <c r="E19"/>
  <c r="E18"/>
  <c r="E17"/>
  <c r="E16"/>
  <c r="E15"/>
  <c r="E14"/>
  <c r="E13"/>
  <c r="E12"/>
  <c r="E11"/>
  <c r="E10"/>
  <c r="E9"/>
  <c r="E8"/>
  <c r="E7"/>
  <c r="C20"/>
  <c r="E6" s="1"/>
  <c r="B20"/>
  <c r="D18" s="1"/>
  <c r="I8" i="6"/>
  <c r="F14"/>
  <c r="F6"/>
  <c r="F7"/>
  <c r="F8"/>
  <c r="F9"/>
  <c r="F10"/>
  <c r="F11"/>
  <c r="F12"/>
  <c r="F13"/>
  <c r="E13"/>
  <c r="E12"/>
  <c r="E11"/>
  <c r="E10"/>
  <c r="E9"/>
  <c r="E8"/>
  <c r="E7"/>
  <c r="E6"/>
  <c r="D13"/>
  <c r="D12"/>
  <c r="D11"/>
  <c r="D10"/>
  <c r="D9"/>
  <c r="D8"/>
  <c r="D7"/>
  <c r="D6"/>
  <c r="C14"/>
  <c r="B14"/>
  <c r="D13" i="5"/>
  <c r="E13" i="4"/>
  <c r="D12" i="3"/>
  <c r="B5" i="1"/>
  <c r="B6"/>
  <c r="B7"/>
  <c r="B8"/>
  <c r="B9"/>
  <c r="B10"/>
  <c r="B11"/>
  <c r="B12"/>
  <c r="B13"/>
  <c r="B14"/>
  <c r="B4"/>
  <c r="D6" i="7" l="1"/>
  <c r="D12"/>
  <c r="D16"/>
  <c r="D8"/>
  <c r="D11"/>
  <c r="D15"/>
  <c r="D7"/>
  <c r="D10"/>
  <c r="D14"/>
  <c r="D9"/>
  <c r="D13"/>
  <c r="D17"/>
  <c r="D19"/>
  <c r="D20" l="1"/>
</calcChain>
</file>

<file path=xl/sharedStrings.xml><?xml version="1.0" encoding="utf-8"?>
<sst xmlns="http://schemas.openxmlformats.org/spreadsheetml/2006/main" count="151" uniqueCount="114">
  <si>
    <t>X</t>
  </si>
  <si>
    <t>P(X)</t>
  </si>
  <si>
    <t>Number of trials = 10</t>
  </si>
  <si>
    <t>Prob. Of Success = 0.6</t>
  </si>
  <si>
    <t>Ques. If a bag contains 8 balls, 3 red, 1 green, 4 blue. Two balls are drawn and experiment is repeated for 10 times. 
What is the probability that 4 red and 6 blue balls are drawn.</t>
  </si>
  <si>
    <t>Red = 4</t>
  </si>
  <si>
    <t>Blue = 6</t>
  </si>
  <si>
    <t>Green = 10</t>
  </si>
  <si>
    <t>P</t>
  </si>
  <si>
    <t>n</t>
  </si>
  <si>
    <t>p</t>
  </si>
  <si>
    <t>r</t>
  </si>
  <si>
    <t>Required Probability</t>
  </si>
  <si>
    <t>Question (1) A manufacturing company produces light bulbs, and the probability of a bulb being defective is 
0.05. If they produce a batch of 1000 light bulbs, what is the probability that exactly 50 bulbs are 
defective?</t>
  </si>
  <si>
    <t>Binomial Application</t>
  </si>
  <si>
    <t>Poisson distribution Application.</t>
  </si>
  <si>
    <t>Question (1)  Suppose the number of errors on a single page of a book has a poissin distribution with lamda  is equal 
to 1. Calculate that there is atleat 1 error on the page.</t>
  </si>
  <si>
    <t>lambda</t>
  </si>
  <si>
    <t>x</t>
  </si>
  <si>
    <t>Req.  Prob. =1-p(x=0)</t>
  </si>
  <si>
    <t>Appl. On Normal Distribution</t>
  </si>
  <si>
    <t>Question (1) What is the probability of a randomly selected adult male having a height between 170 cm and 180 cm, 
given that the height distribution follows a normal distribution with a mean of 175 cm and a standard 
deviation of 7 cm</t>
  </si>
  <si>
    <t>lower value</t>
  </si>
  <si>
    <t>upper value</t>
  </si>
  <si>
    <t>mead</t>
  </si>
  <si>
    <t>S.D.</t>
  </si>
  <si>
    <t>Req. Prob.</t>
  </si>
  <si>
    <t>Study hours (x)</t>
  </si>
  <si>
    <t>Marks (100) (y)</t>
  </si>
  <si>
    <t>x-x'</t>
  </si>
  <si>
    <t>y-y'</t>
  </si>
  <si>
    <t>(x-x')(y-y')</t>
  </si>
  <si>
    <t>AVERAGE</t>
  </si>
  <si>
    <t>Summation</t>
  </si>
  <si>
    <t>Covariance =</t>
  </si>
  <si>
    <t>y</t>
  </si>
  <si>
    <t>X=x-x'</t>
  </si>
  <si>
    <t>Y=y-y'</t>
  </si>
  <si>
    <t>X^2</t>
  </si>
  <si>
    <t>Y^2</t>
  </si>
  <si>
    <t>X*Y</t>
  </si>
  <si>
    <t>Correlation coeff.</t>
  </si>
  <si>
    <t>Study Hours (x)</t>
  </si>
  <si>
    <t>correlation</t>
  </si>
  <si>
    <t>a</t>
  </si>
  <si>
    <t>b</t>
  </si>
  <si>
    <t>no. of var</t>
  </si>
  <si>
    <t xml:space="preserve">no, of random var. </t>
  </si>
  <si>
    <t xml:space="preserve">13.  Calculating of karl's pearson correlation coefficient
</t>
  </si>
  <si>
    <t>12. Presenting of bi variat data throuhg scatter diagram and calculation of co variance</t>
  </si>
  <si>
    <t>14. Calculate the coorelation coefficient of bivariate frequency distribution.</t>
  </si>
  <si>
    <t>L</t>
  </si>
  <si>
    <t>Result</t>
  </si>
  <si>
    <t>Poisson</t>
  </si>
  <si>
    <t>Ques. If the number of accidents occuring in a highway each day is  poisson random variable with parameter L=3, what is the probability that no accidents occur today.</t>
  </si>
  <si>
    <t>Plotting and fitting of uniform distribution and graphical representation of probabilities.</t>
  </si>
  <si>
    <t>Ques. Suppose you've a random variable X that’s uniformly distributed over (1,55) [X, U~(1,55)]  Compute the following using Excel spreadsheet. (1) Mean, (2) Standard Deviation, (3) Probability DF, 4. P(X&gt;13), P(X&lt;13), P(30&lt;X&lt;40), P(13&lt;X&lt;35)</t>
  </si>
  <si>
    <t>E(mean)</t>
  </si>
  <si>
    <t>Part1</t>
  </si>
  <si>
    <t>Part2</t>
  </si>
  <si>
    <t>Standard Deviation</t>
  </si>
  <si>
    <t>PDF</t>
  </si>
  <si>
    <t>P[X&gt;13]</t>
  </si>
  <si>
    <t>P[X&lt;13]</t>
  </si>
  <si>
    <t>P(30&lt;X&lt;40)</t>
  </si>
  <si>
    <t>P(13&lt;X&lt;35)</t>
  </si>
  <si>
    <t>Part3</t>
  </si>
  <si>
    <t>Part4</t>
  </si>
  <si>
    <t>Part5</t>
  </si>
  <si>
    <t>Part6</t>
  </si>
  <si>
    <t>Part7</t>
  </si>
  <si>
    <t>The shopping time in a grocery store can be fitted into an exponential distribution. 
Additionally, the average shopping time is 10 minutes. what is the likelihood of a 
salesperson spending 6 to 8 minutes with a randomly chosen customer?</t>
  </si>
  <si>
    <t>Average time</t>
  </si>
  <si>
    <t>mean (lambda)</t>
  </si>
  <si>
    <t>f(x)</t>
  </si>
  <si>
    <t>?</t>
  </si>
  <si>
    <t>cdf</t>
  </si>
  <si>
    <t>P(X&lt;8)</t>
  </si>
  <si>
    <t>P(X&lt;6)</t>
  </si>
  <si>
    <t>P(6&lt;X&lt;8)</t>
  </si>
  <si>
    <t>We can see that the value is approximately 10%. So, 
there is a 10% chance that the salesperson will 
spend 6 to 8 minutes with a randomly picked 
customer</t>
  </si>
  <si>
    <t>Poisson Distribution</t>
  </si>
  <si>
    <t>Binomial Distribution</t>
  </si>
  <si>
    <t>Multinomial Distribution</t>
  </si>
  <si>
    <t>q</t>
  </si>
  <si>
    <t>No. of Var.</t>
  </si>
  <si>
    <t>No. of random var.</t>
  </si>
  <si>
    <t>Using Poisson</t>
  </si>
  <si>
    <t>Using Binomial</t>
  </si>
  <si>
    <t>Using Bernoulli</t>
  </si>
  <si>
    <t>c</t>
  </si>
  <si>
    <t>d</t>
  </si>
  <si>
    <t>no. of trial</t>
  </si>
  <si>
    <t>Using Normal</t>
  </si>
  <si>
    <t>No. of variable</t>
  </si>
  <si>
    <t>SD</t>
  </si>
  <si>
    <t>Mean</t>
  </si>
  <si>
    <t>Using Uniform</t>
  </si>
  <si>
    <t>no. of variable</t>
  </si>
  <si>
    <t>No. of random variable</t>
  </si>
  <si>
    <t>between</t>
  </si>
  <si>
    <t>0-1</t>
  </si>
  <si>
    <t xml:space="preserve">Generating random no. from continuous (Uniform, Normal) distribution </t>
  </si>
  <si>
    <t>Generating random no. using discrete (Binomial, Poisson, Bernoulli) distribution</t>
  </si>
  <si>
    <t>Geomatric Distribution</t>
  </si>
  <si>
    <t>P(x)</t>
  </si>
  <si>
    <t>Plotting and fitting of Uniform distribution and graphical representation of probabilities.</t>
  </si>
  <si>
    <t>Throwing a die</t>
  </si>
  <si>
    <t>Outcome</t>
  </si>
  <si>
    <t>Probability</t>
  </si>
  <si>
    <t>6. Plotting and fitting of exponential distribution and graphical representation of probabilities.</t>
  </si>
  <si>
    <t>Plotting and fitting of Normal distribution and graphical representation of probabilities</t>
  </si>
  <si>
    <t>St. D</t>
  </si>
  <si>
    <t>mean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</si>
</sst>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0" fillId="0" borderId="0" xfId="0" applyAlignment="1">
      <alignment horizontal="center"/>
    </xf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2" fontId="0" fillId="0" borderId="1" xfId="0" applyNumberFormat="1" applyBorder="1"/>
    <xf numFmtId="0" fontId="0" fillId="6" borderId="1" xfId="0" applyFill="1" applyBorder="1"/>
    <xf numFmtId="0" fontId="0" fillId="5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10" borderId="0" xfId="0" applyFill="1"/>
    <xf numFmtId="0" fontId="0" fillId="10" borderId="1" xfId="0" applyFill="1" applyBorder="1"/>
    <xf numFmtId="0" fontId="0" fillId="11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9.1696850393700874E-2"/>
          <c:y val="0.10408343659476126"/>
          <c:w val="0.86385870516185481"/>
          <c:h val="0.64969106144388011"/>
        </c:manualLayout>
      </c:layout>
      <c:lineChart>
        <c:grouping val="stacked"/>
        <c:ser>
          <c:idx val="0"/>
          <c:order val="0"/>
          <c:val>
            <c:numRef>
              <c:f>Sheet1!$B$4:$B$15</c:f>
              <c:numCache>
                <c:formatCode>General</c:formatCode>
                <c:ptCount val="12"/>
                <c:pt idx="0">
                  <c:v>1.0485760000000014E-4</c:v>
                </c:pt>
                <c:pt idx="1">
                  <c:v>1.5728640000000006E-3</c:v>
                </c:pt>
                <c:pt idx="2">
                  <c:v>1.0616832000000005E-2</c:v>
                </c:pt>
                <c:pt idx="3">
                  <c:v>4.2467328000000019E-2</c:v>
                </c:pt>
                <c:pt idx="4">
                  <c:v>0.11147673600000003</c:v>
                </c:pt>
                <c:pt idx="5">
                  <c:v>0.20065812480000017</c:v>
                </c:pt>
                <c:pt idx="6">
                  <c:v>0.25082265599999998</c:v>
                </c:pt>
                <c:pt idx="7">
                  <c:v>0.21499084799999993</c:v>
                </c:pt>
                <c:pt idx="8">
                  <c:v>0.12093235199999998</c:v>
                </c:pt>
                <c:pt idx="9">
                  <c:v>4.0310783999999995E-2</c:v>
                </c:pt>
                <c:pt idx="10">
                  <c:v>6.0466176E-3</c:v>
                </c:pt>
              </c:numCache>
            </c:numRef>
          </c:val>
        </c:ser>
        <c:marker val="1"/>
        <c:axId val="132784128"/>
        <c:axId val="132785664"/>
      </c:lineChart>
      <c:catAx>
        <c:axId val="132784128"/>
        <c:scaling>
          <c:orientation val="minMax"/>
        </c:scaling>
        <c:axPos val="b"/>
        <c:tickLblPos val="nextTo"/>
        <c:crossAx val="132785664"/>
        <c:crosses val="autoZero"/>
        <c:auto val="1"/>
        <c:lblAlgn val="ctr"/>
        <c:lblOffset val="100"/>
      </c:catAx>
      <c:valAx>
        <c:axId val="132785664"/>
        <c:scaling>
          <c:orientation val="minMax"/>
        </c:scaling>
        <c:axPos val="l"/>
        <c:majorGridlines/>
        <c:numFmt formatCode="General" sourceLinked="1"/>
        <c:tickLblPos val="nextTo"/>
        <c:crossAx val="132784128"/>
        <c:crosses val="autoZero"/>
        <c:crossBetween val="between"/>
      </c:valAx>
      <c:spPr>
        <a:noFill/>
        <a:ln w="25400">
          <a:noFill/>
        </a:ln>
      </c:spPr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Sheet1!$B$4:$B$14</c:f>
              <c:numCache>
                <c:formatCode>General</c:formatCode>
                <c:ptCount val="11"/>
                <c:pt idx="0">
                  <c:v>1.0485760000000014E-4</c:v>
                </c:pt>
                <c:pt idx="1">
                  <c:v>1.5728640000000006E-3</c:v>
                </c:pt>
                <c:pt idx="2">
                  <c:v>1.0616832000000005E-2</c:v>
                </c:pt>
                <c:pt idx="3">
                  <c:v>4.2467328000000019E-2</c:v>
                </c:pt>
                <c:pt idx="4">
                  <c:v>0.11147673600000003</c:v>
                </c:pt>
                <c:pt idx="5">
                  <c:v>0.20065812480000017</c:v>
                </c:pt>
                <c:pt idx="6">
                  <c:v>0.25082265599999998</c:v>
                </c:pt>
                <c:pt idx="7">
                  <c:v>0.21499084799999993</c:v>
                </c:pt>
                <c:pt idx="8">
                  <c:v>0.12093235199999998</c:v>
                </c:pt>
                <c:pt idx="9">
                  <c:v>4.0310783999999995E-2</c:v>
                </c:pt>
                <c:pt idx="10">
                  <c:v>6.0466176E-3</c:v>
                </c:pt>
              </c:numCache>
            </c:numRef>
          </c:val>
        </c:ser>
        <c:axId val="95181056"/>
        <c:axId val="115888128"/>
      </c:barChart>
      <c:catAx>
        <c:axId val="95181056"/>
        <c:scaling>
          <c:orientation val="minMax"/>
        </c:scaling>
        <c:axPos val="b"/>
        <c:tickLblPos val="nextTo"/>
        <c:crossAx val="115888128"/>
        <c:crosses val="autoZero"/>
        <c:auto val="1"/>
        <c:lblAlgn val="ctr"/>
        <c:lblOffset val="100"/>
      </c:catAx>
      <c:valAx>
        <c:axId val="115888128"/>
        <c:scaling>
          <c:orientation val="minMax"/>
        </c:scaling>
        <c:axPos val="l"/>
        <c:majorGridlines/>
        <c:numFmt formatCode="General" sourceLinked="1"/>
        <c:tickLblPos val="nextTo"/>
        <c:crossAx val="951810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Sheet11!$J$9</c:f>
              <c:strCache>
                <c:ptCount val="1"/>
                <c:pt idx="0">
                  <c:v>Poisson</c:v>
                </c:pt>
              </c:strCache>
            </c:strRef>
          </c:tx>
          <c:marker>
            <c:symbol val="none"/>
          </c:marker>
          <c:val>
            <c:numRef>
              <c:f>Sheet11!$J$10:$J$46</c:f>
              <c:numCache>
                <c:formatCode>General</c:formatCode>
                <c:ptCount val="37"/>
                <c:pt idx="0">
                  <c:v>4.9787068367865214E-2</c:v>
                </c:pt>
                <c:pt idx="1">
                  <c:v>0.14936120510359566</c:v>
                </c:pt>
                <c:pt idx="2">
                  <c:v>0.22404180765539347</c:v>
                </c:pt>
                <c:pt idx="3">
                  <c:v>0.22404180765539347</c:v>
                </c:pt>
                <c:pt idx="4">
                  <c:v>0.16803135574154512</c:v>
                </c:pt>
                <c:pt idx="5">
                  <c:v>0.10081881344492706</c:v>
                </c:pt>
                <c:pt idx="6">
                  <c:v>5.040940672246353E-2</c:v>
                </c:pt>
                <c:pt idx="7">
                  <c:v>2.1604031452484369E-2</c:v>
                </c:pt>
                <c:pt idx="8">
                  <c:v>8.1015117946816387E-3</c:v>
                </c:pt>
                <c:pt idx="9">
                  <c:v>2.7005039315605461E-3</c:v>
                </c:pt>
                <c:pt idx="10">
                  <c:v>8.101511794681638E-4</c:v>
                </c:pt>
                <c:pt idx="11">
                  <c:v>2.2095032167313556E-4</c:v>
                </c:pt>
                <c:pt idx="12">
                  <c:v>5.523758041828389E-5</c:v>
                </c:pt>
                <c:pt idx="13">
                  <c:v>1.2747133942680898E-5</c:v>
                </c:pt>
                <c:pt idx="14">
                  <c:v>2.7315287020030495E-6</c:v>
                </c:pt>
                <c:pt idx="15">
                  <c:v>5.4630574040060988E-7</c:v>
                </c:pt>
                <c:pt idx="16">
                  <c:v>1.0243232632511435E-7</c:v>
                </c:pt>
                <c:pt idx="17">
                  <c:v>1.8076292880902532E-8</c:v>
                </c:pt>
                <c:pt idx="18">
                  <c:v>3.012715480150422E-9</c:v>
                </c:pt>
                <c:pt idx="19">
                  <c:v>4.7569191791848768E-10</c:v>
                </c:pt>
                <c:pt idx="20">
                  <c:v>7.1353787687773149E-11</c:v>
                </c:pt>
                <c:pt idx="21">
                  <c:v>1.0193398241110449E-11</c:v>
                </c:pt>
                <c:pt idx="22">
                  <c:v>1.3900088510605156E-12</c:v>
                </c:pt>
                <c:pt idx="23">
                  <c:v>1.8130550231224114E-13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</c:ser>
        <c:marker val="1"/>
        <c:axId val="136262400"/>
        <c:axId val="136263936"/>
      </c:lineChart>
      <c:catAx>
        <c:axId val="136262400"/>
        <c:scaling>
          <c:orientation val="minMax"/>
        </c:scaling>
        <c:axPos val="b"/>
        <c:tickLblPos val="nextTo"/>
        <c:crossAx val="136263936"/>
        <c:crosses val="autoZero"/>
        <c:auto val="1"/>
        <c:lblAlgn val="ctr"/>
        <c:lblOffset val="100"/>
      </c:catAx>
      <c:valAx>
        <c:axId val="136263936"/>
        <c:scaling>
          <c:orientation val="minMax"/>
        </c:scaling>
        <c:axPos val="l"/>
        <c:majorGridlines/>
        <c:numFmt formatCode="General" sourceLinked="1"/>
        <c:tickLblPos val="nextTo"/>
        <c:crossAx val="1362624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Sheet14!$C$11:$C$20</c:f>
              <c:numCache>
                <c:formatCode>General</c:formatCode>
                <c:ptCount val="10"/>
                <c:pt idx="0">
                  <c:v>0.5</c:v>
                </c:pt>
                <c:pt idx="1">
                  <c:v>0.25</c:v>
                </c:pt>
                <c:pt idx="2">
                  <c:v>0.125</c:v>
                </c:pt>
                <c:pt idx="3">
                  <c:v>6.25E-2</c:v>
                </c:pt>
                <c:pt idx="4">
                  <c:v>3.125E-2</c:v>
                </c:pt>
                <c:pt idx="5">
                  <c:v>1.5625E-2</c:v>
                </c:pt>
                <c:pt idx="6">
                  <c:v>7.8130000000000005E-3</c:v>
                </c:pt>
                <c:pt idx="7">
                  <c:v>3.9060000000000002E-3</c:v>
                </c:pt>
                <c:pt idx="8">
                  <c:v>1.9530000000000001E-3</c:v>
                </c:pt>
                <c:pt idx="9">
                  <c:v>9.77E-4</c:v>
                </c:pt>
              </c:numCache>
            </c:numRef>
          </c:val>
        </c:ser>
        <c:marker val="1"/>
        <c:axId val="84066688"/>
        <c:axId val="84068224"/>
      </c:lineChart>
      <c:catAx>
        <c:axId val="84066688"/>
        <c:scaling>
          <c:orientation val="minMax"/>
        </c:scaling>
        <c:axPos val="b"/>
        <c:tickLblPos val="nextTo"/>
        <c:crossAx val="84068224"/>
        <c:crosses val="autoZero"/>
        <c:auto val="1"/>
        <c:lblAlgn val="ctr"/>
        <c:lblOffset val="100"/>
      </c:catAx>
      <c:valAx>
        <c:axId val="84068224"/>
        <c:scaling>
          <c:orientation val="minMax"/>
        </c:scaling>
        <c:axPos val="l"/>
        <c:majorGridlines/>
        <c:numFmt formatCode="General" sourceLinked="1"/>
        <c:tickLblPos val="nextTo"/>
        <c:crossAx val="840666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val>
            <c:numRef>
              <c:f>Sheet15!$C$8:$C$13</c:f>
              <c:numCache>
                <c:formatCode>General</c:formatCode>
                <c:ptCount val="6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</c:numCache>
            </c:numRef>
          </c:val>
        </c:ser>
        <c:dLbls/>
        <c:marker val="1"/>
        <c:axId val="62317696"/>
        <c:axId val="62319232"/>
      </c:lineChart>
      <c:catAx>
        <c:axId val="62317696"/>
        <c:scaling>
          <c:orientation val="minMax"/>
        </c:scaling>
        <c:axPos val="b"/>
        <c:tickLblPos val="nextTo"/>
        <c:crossAx val="62319232"/>
        <c:crosses val="autoZero"/>
        <c:auto val="1"/>
        <c:lblAlgn val="ctr"/>
        <c:lblOffset val="100"/>
      </c:catAx>
      <c:valAx>
        <c:axId val="62319232"/>
        <c:scaling>
          <c:orientation val="minMax"/>
        </c:scaling>
        <c:axPos val="l"/>
        <c:majorGridlines/>
        <c:numFmt formatCode="General" sourceLinked="1"/>
        <c:tickLblPos val="nextTo"/>
        <c:crossAx val="6231769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cked"/>
        <c:ser>
          <c:idx val="0"/>
          <c:order val="0"/>
          <c:marker>
            <c:symbol val="none"/>
          </c:marker>
          <c:val>
            <c:numRef>
              <c:f>Sheet13!$C$16:$C$22</c:f>
              <c:numCache>
                <c:formatCode>General</c:formatCode>
                <c:ptCount val="7"/>
                <c:pt idx="0">
                  <c:v>0.1</c:v>
                </c:pt>
                <c:pt idx="1">
                  <c:v>8.1873075307798193E-2</c:v>
                </c:pt>
                <c:pt idx="2">
                  <c:v>6.7032004603563941E-2</c:v>
                </c:pt>
                <c:pt idx="3">
                  <c:v>5.4881163609402643E-2</c:v>
                </c:pt>
                <c:pt idx="4">
                  <c:v>4.4932896411722156E-2</c:v>
                </c:pt>
                <c:pt idx="5">
                  <c:v>3.6787944117144235E-2</c:v>
                </c:pt>
                <c:pt idx="6">
                  <c:v>3.0119421191220203E-2</c:v>
                </c:pt>
              </c:numCache>
            </c:numRef>
          </c:val>
        </c:ser>
        <c:marker val="1"/>
        <c:axId val="136305280"/>
        <c:axId val="132645248"/>
      </c:lineChart>
      <c:catAx>
        <c:axId val="136305280"/>
        <c:scaling>
          <c:orientation val="minMax"/>
        </c:scaling>
        <c:axPos val="b"/>
        <c:tickLblPos val="nextTo"/>
        <c:crossAx val="132645248"/>
        <c:crosses val="autoZero"/>
        <c:auto val="1"/>
        <c:lblAlgn val="ctr"/>
        <c:lblOffset val="100"/>
      </c:catAx>
      <c:valAx>
        <c:axId val="132645248"/>
        <c:scaling>
          <c:orientation val="minMax"/>
        </c:scaling>
        <c:axPos val="l"/>
        <c:majorGridlines/>
        <c:numFmt formatCode="General" sourceLinked="1"/>
        <c:tickLblPos val="nextTo"/>
        <c:crossAx val="1363052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cked"/>
        <c:ser>
          <c:idx val="0"/>
          <c:order val="0"/>
          <c:tx>
            <c:strRef>
              <c:f>Sheet13!$D$15</c:f>
              <c:strCache>
                <c:ptCount val="1"/>
                <c:pt idx="0">
                  <c:v>cdf</c:v>
                </c:pt>
              </c:strCache>
            </c:strRef>
          </c:tx>
          <c:marker>
            <c:symbol val="none"/>
          </c:marker>
          <c:val>
            <c:numRef>
              <c:f>Sheet13!$D$16:$D$22</c:f>
              <c:numCache>
                <c:formatCode>General</c:formatCode>
                <c:ptCount val="7"/>
                <c:pt idx="0">
                  <c:v>0</c:v>
                </c:pt>
                <c:pt idx="1">
                  <c:v>0.18126924692201818</c:v>
                </c:pt>
                <c:pt idx="2">
                  <c:v>0.32967995396436067</c:v>
                </c:pt>
                <c:pt idx="3">
                  <c:v>0.45118836390597361</c:v>
                </c:pt>
                <c:pt idx="4">
                  <c:v>0.55067103588277844</c:v>
                </c:pt>
                <c:pt idx="5">
                  <c:v>0.63212055882855767</c:v>
                </c:pt>
                <c:pt idx="6">
                  <c:v>0.69880578808779803</c:v>
                </c:pt>
              </c:numCache>
            </c:numRef>
          </c:val>
        </c:ser>
        <c:marker val="1"/>
        <c:axId val="132656512"/>
        <c:axId val="132678784"/>
      </c:lineChart>
      <c:catAx>
        <c:axId val="132656512"/>
        <c:scaling>
          <c:orientation val="minMax"/>
        </c:scaling>
        <c:axPos val="b"/>
        <c:tickLblPos val="nextTo"/>
        <c:crossAx val="132678784"/>
        <c:crosses val="autoZero"/>
        <c:auto val="1"/>
        <c:lblAlgn val="ctr"/>
        <c:lblOffset val="100"/>
      </c:catAx>
      <c:valAx>
        <c:axId val="132678784"/>
        <c:scaling>
          <c:orientation val="minMax"/>
        </c:scaling>
        <c:axPos val="l"/>
        <c:majorGridlines/>
        <c:numFmt formatCode="General" sourceLinked="1"/>
        <c:tickLblPos val="nextTo"/>
        <c:crossAx val="1326565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Sheet12!$E$13:$E$19</c:f>
              <c:numCache>
                <c:formatCode>General</c:formatCode>
                <c:ptCount val="7"/>
                <c:pt idx="0">
                  <c:v>28</c:v>
                </c:pt>
                <c:pt idx="1">
                  <c:v>15.588457268119896</c:v>
                </c:pt>
                <c:pt idx="2">
                  <c:v>1.8518518518518517E-2</c:v>
                </c:pt>
                <c:pt idx="3">
                  <c:v>0.77777777777777779</c:v>
                </c:pt>
                <c:pt idx="4">
                  <c:v>0.22222222222222221</c:v>
                </c:pt>
                <c:pt idx="5">
                  <c:v>0.18518518518518517</c:v>
                </c:pt>
                <c:pt idx="6">
                  <c:v>0.40740740740740738</c:v>
                </c:pt>
              </c:numCache>
            </c:numRef>
          </c:val>
        </c:ser>
        <c:marker val="1"/>
        <c:axId val="152274048"/>
        <c:axId val="152275584"/>
      </c:lineChart>
      <c:catAx>
        <c:axId val="152274048"/>
        <c:scaling>
          <c:orientation val="minMax"/>
        </c:scaling>
        <c:axPos val="b"/>
        <c:tickLblPos val="nextTo"/>
        <c:crossAx val="152275584"/>
        <c:crosses val="autoZero"/>
        <c:auto val="1"/>
        <c:lblAlgn val="ctr"/>
        <c:lblOffset val="100"/>
      </c:catAx>
      <c:valAx>
        <c:axId val="152275584"/>
        <c:scaling>
          <c:orientation val="minMax"/>
        </c:scaling>
        <c:axPos val="l"/>
        <c:majorGridlines/>
        <c:numFmt formatCode="General" sourceLinked="1"/>
        <c:tickLblPos val="nextTo"/>
        <c:crossAx val="1522740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Sheet16!$C$7:$C$53</c:f>
              <c:numCache>
                <c:formatCode>General</c:formatCode>
                <c:ptCount val="47"/>
                <c:pt idx="0">
                  <c:v>5.5307095498444154E-50</c:v>
                </c:pt>
                <c:pt idx="1">
                  <c:v>1.0966065593889711E-43</c:v>
                </c:pt>
                <c:pt idx="2">
                  <c:v>7.9988277570068116E-38</c:v>
                </c:pt>
                <c:pt idx="3">
                  <c:v>2.1463837356630602E-32</c:v>
                </c:pt>
                <c:pt idx="4">
                  <c:v>2.1188192535093534E-27</c:v>
                </c:pt>
                <c:pt idx="5">
                  <c:v>7.6945986267064188E-23</c:v>
                </c:pt>
                <c:pt idx="6">
                  <c:v>1.0279773571668915E-18</c:v>
                </c:pt>
                <c:pt idx="7">
                  <c:v>5.0522710835368919E-15</c:v>
                </c:pt>
                <c:pt idx="8">
                  <c:v>9.1347204083645936E-12</c:v>
                </c:pt>
                <c:pt idx="9">
                  <c:v>6.0758828498232853E-9</c:v>
                </c:pt>
                <c:pt idx="10">
                  <c:v>1.4867195147342977E-6</c:v>
                </c:pt>
                <c:pt idx="11">
                  <c:v>1.3383022576488534E-4</c:v>
                </c:pt>
                <c:pt idx="12">
                  <c:v>4.4318484119380067E-3</c:v>
                </c:pt>
                <c:pt idx="13">
                  <c:v>5.3990966513188049E-2</c:v>
                </c:pt>
                <c:pt idx="14">
                  <c:v>0.24197072451914334</c:v>
                </c:pt>
                <c:pt idx="15">
                  <c:v>0.39894228040143265</c:v>
                </c:pt>
                <c:pt idx="16">
                  <c:v>0.24197072451914334</c:v>
                </c:pt>
                <c:pt idx="17">
                  <c:v>5.3990966513188049E-2</c:v>
                </c:pt>
                <c:pt idx="18">
                  <c:v>4.4318484119380067E-3</c:v>
                </c:pt>
                <c:pt idx="19">
                  <c:v>1.3383022576488534E-4</c:v>
                </c:pt>
                <c:pt idx="20">
                  <c:v>1.4867195147342977E-6</c:v>
                </c:pt>
                <c:pt idx="21">
                  <c:v>6.0758828498232853E-9</c:v>
                </c:pt>
                <c:pt idx="22">
                  <c:v>9.1347204083645936E-12</c:v>
                </c:pt>
                <c:pt idx="23">
                  <c:v>5.0522710835368919E-15</c:v>
                </c:pt>
                <c:pt idx="24">
                  <c:v>1.0279773571668915E-18</c:v>
                </c:pt>
                <c:pt idx="25">
                  <c:v>7.6945986267064188E-23</c:v>
                </c:pt>
                <c:pt idx="26">
                  <c:v>2.1188192535093534E-27</c:v>
                </c:pt>
                <c:pt idx="27">
                  <c:v>2.1463837356630602E-32</c:v>
                </c:pt>
                <c:pt idx="28">
                  <c:v>7.9988277570068116E-38</c:v>
                </c:pt>
                <c:pt idx="29">
                  <c:v>1.0966065593889711E-43</c:v>
                </c:pt>
                <c:pt idx="30">
                  <c:v>5.5307095498444154E-50</c:v>
                </c:pt>
                <c:pt idx="31">
                  <c:v>1.0261630727919034E-56</c:v>
                </c:pt>
                <c:pt idx="32">
                  <c:v>7.0041821343185812E-64</c:v>
                </c:pt>
                <c:pt idx="33">
                  <c:v>1.7587495425951037E-71</c:v>
                </c:pt>
                <c:pt idx="34">
                  <c:v>1.6246360367736078E-79</c:v>
                </c:pt>
                <c:pt idx="35">
                  <c:v>5.5209483621597624E-88</c:v>
                </c:pt>
                <c:pt idx="36">
                  <c:v>6.9020294201272195E-97</c:v>
                </c:pt>
                <c:pt idx="37">
                  <c:v>3.1742815528252622E-106</c:v>
                </c:pt>
                <c:pt idx="38">
                  <c:v>5.3705603650205916E-116</c:v>
                </c:pt>
                <c:pt idx="39">
                  <c:v>3.3427144417944571E-126</c:v>
                </c:pt>
                <c:pt idx="40">
                  <c:v>7.6539297364193922E-137</c:v>
                </c:pt>
                <c:pt idx="41">
                  <c:v>6.4472599713978517E-148</c:v>
                </c:pt>
                <c:pt idx="42">
                  <c:v>1.9978892591682794E-159</c:v>
                </c:pt>
                <c:pt idx="43">
                  <c:v>2.2775774787366608E-171</c:v>
                </c:pt>
                <c:pt idx="44">
                  <c:v>9.551694541948838E-184</c:v>
                </c:pt>
              </c:numCache>
            </c:numRef>
          </c:val>
        </c:ser>
        <c:marker val="1"/>
        <c:axId val="84252544"/>
        <c:axId val="84254080"/>
      </c:lineChart>
      <c:catAx>
        <c:axId val="84252544"/>
        <c:scaling>
          <c:orientation val="minMax"/>
        </c:scaling>
        <c:axPos val="b"/>
        <c:tickLblPos val="nextTo"/>
        <c:crossAx val="84254080"/>
        <c:crosses val="autoZero"/>
        <c:auto val="1"/>
        <c:lblAlgn val="ctr"/>
        <c:lblOffset val="100"/>
      </c:catAx>
      <c:valAx>
        <c:axId val="84254080"/>
        <c:scaling>
          <c:orientation val="minMax"/>
        </c:scaling>
        <c:axPos val="l"/>
        <c:majorGridlines/>
        <c:numFmt formatCode="General" sourceLinked="1"/>
        <c:tickLblPos val="nextTo"/>
        <c:crossAx val="8425254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strRef>
              <c:f>Sheet6!$C$5</c:f>
              <c:strCache>
                <c:ptCount val="1"/>
                <c:pt idx="0">
                  <c:v>Marks (100) (y)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Sheet6!$B$6:$B$13</c:f>
              <c:numCache>
                <c:formatCode>General</c:formatCode>
                <c:ptCount val="8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8</c:v>
                </c:pt>
              </c:numCache>
            </c:numRef>
          </c:xVal>
          <c:yVal>
            <c:numRef>
              <c:f>Sheet6!$C$6:$C$13</c:f>
              <c:numCache>
                <c:formatCode>General</c:formatCode>
                <c:ptCount val="8"/>
                <c:pt idx="0">
                  <c:v>99</c:v>
                </c:pt>
                <c:pt idx="1">
                  <c:v>87</c:v>
                </c:pt>
                <c:pt idx="2">
                  <c:v>51</c:v>
                </c:pt>
                <c:pt idx="3">
                  <c:v>62</c:v>
                </c:pt>
                <c:pt idx="4">
                  <c:v>70</c:v>
                </c:pt>
                <c:pt idx="5">
                  <c:v>46</c:v>
                </c:pt>
                <c:pt idx="6">
                  <c:v>33</c:v>
                </c:pt>
                <c:pt idx="7">
                  <c:v>42</c:v>
                </c:pt>
              </c:numCache>
            </c:numRef>
          </c:yVal>
        </c:ser>
        <c:ser>
          <c:idx val="1"/>
          <c:order val="1"/>
          <c:tx>
            <c:strRef>
              <c:f>Sheet6!$D$5</c:f>
              <c:strCache>
                <c:ptCount val="1"/>
                <c:pt idx="0">
                  <c:v>x-x'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Sheet6!$B$6:$B$13</c:f>
              <c:numCache>
                <c:formatCode>General</c:formatCode>
                <c:ptCount val="8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8</c:v>
                </c:pt>
              </c:numCache>
            </c:numRef>
          </c:xVal>
          <c:yVal>
            <c:numRef>
              <c:f>Sheet6!$D$6:$D$13</c:f>
              <c:numCache>
                <c:formatCode>General</c:formatCode>
                <c:ptCount val="8"/>
                <c:pt idx="0">
                  <c:v>1.25</c:v>
                </c:pt>
                <c:pt idx="1">
                  <c:v>4.25</c:v>
                </c:pt>
                <c:pt idx="2">
                  <c:v>6.25</c:v>
                </c:pt>
                <c:pt idx="3">
                  <c:v>-0.75</c:v>
                </c:pt>
                <c:pt idx="4">
                  <c:v>-1.75</c:v>
                </c:pt>
                <c:pt idx="5">
                  <c:v>-3.75</c:v>
                </c:pt>
                <c:pt idx="6">
                  <c:v>-4.75</c:v>
                </c:pt>
                <c:pt idx="7">
                  <c:v>-0.75</c:v>
                </c:pt>
              </c:numCache>
            </c:numRef>
          </c:yVal>
        </c:ser>
        <c:ser>
          <c:idx val="2"/>
          <c:order val="2"/>
          <c:tx>
            <c:strRef>
              <c:f>Sheet6!$E$5</c:f>
              <c:strCache>
                <c:ptCount val="1"/>
                <c:pt idx="0">
                  <c:v>y-y'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Sheet6!$B$6:$B$13</c:f>
              <c:numCache>
                <c:formatCode>General</c:formatCode>
                <c:ptCount val="8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8</c:v>
                </c:pt>
              </c:numCache>
            </c:numRef>
          </c:xVal>
          <c:yVal>
            <c:numRef>
              <c:f>Sheet6!$E$6:$E$13</c:f>
              <c:numCache>
                <c:formatCode>General</c:formatCode>
                <c:ptCount val="8"/>
                <c:pt idx="0">
                  <c:v>37.75</c:v>
                </c:pt>
                <c:pt idx="1">
                  <c:v>25.75</c:v>
                </c:pt>
                <c:pt idx="2">
                  <c:v>-10.25</c:v>
                </c:pt>
                <c:pt idx="3">
                  <c:v>0.75</c:v>
                </c:pt>
                <c:pt idx="4">
                  <c:v>8.75</c:v>
                </c:pt>
                <c:pt idx="5">
                  <c:v>-15.25</c:v>
                </c:pt>
                <c:pt idx="6">
                  <c:v>-28.25</c:v>
                </c:pt>
                <c:pt idx="7">
                  <c:v>-19.25</c:v>
                </c:pt>
              </c:numCache>
            </c:numRef>
          </c:yVal>
        </c:ser>
        <c:ser>
          <c:idx val="3"/>
          <c:order val="3"/>
          <c:tx>
            <c:strRef>
              <c:f>Sheet6!$F$5</c:f>
              <c:strCache>
                <c:ptCount val="1"/>
                <c:pt idx="0">
                  <c:v>(x-x')(y-y')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Sheet6!$B$6:$B$13</c:f>
              <c:numCache>
                <c:formatCode>General</c:formatCode>
                <c:ptCount val="8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8</c:v>
                </c:pt>
              </c:numCache>
            </c:numRef>
          </c:xVal>
          <c:yVal>
            <c:numRef>
              <c:f>Sheet6!$F$6:$F$13</c:f>
              <c:numCache>
                <c:formatCode>General</c:formatCode>
                <c:ptCount val="8"/>
                <c:pt idx="0">
                  <c:v>47.1875</c:v>
                </c:pt>
                <c:pt idx="1">
                  <c:v>109.4375</c:v>
                </c:pt>
                <c:pt idx="2">
                  <c:v>-64.0625</c:v>
                </c:pt>
                <c:pt idx="3">
                  <c:v>-0.5625</c:v>
                </c:pt>
                <c:pt idx="4">
                  <c:v>-15.3125</c:v>
                </c:pt>
                <c:pt idx="5">
                  <c:v>57.1875</c:v>
                </c:pt>
                <c:pt idx="6">
                  <c:v>134.1875</c:v>
                </c:pt>
                <c:pt idx="7">
                  <c:v>14.4375</c:v>
                </c:pt>
              </c:numCache>
            </c:numRef>
          </c:yVal>
        </c:ser>
        <c:axId val="159286016"/>
        <c:axId val="159287552"/>
      </c:scatterChart>
      <c:valAx>
        <c:axId val="159286016"/>
        <c:scaling>
          <c:orientation val="minMax"/>
        </c:scaling>
        <c:axPos val="b"/>
        <c:numFmt formatCode="General" sourceLinked="1"/>
        <c:tickLblPos val="nextTo"/>
        <c:crossAx val="159287552"/>
        <c:crosses val="autoZero"/>
        <c:crossBetween val="midCat"/>
      </c:valAx>
      <c:valAx>
        <c:axId val="159287552"/>
        <c:scaling>
          <c:orientation val="minMax"/>
        </c:scaling>
        <c:axPos val="l"/>
        <c:majorGridlines/>
        <c:numFmt formatCode="General" sourceLinked="1"/>
        <c:tickLblPos val="nextTo"/>
        <c:crossAx val="15928601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18</xdr:row>
      <xdr:rowOff>19050</xdr:rowOff>
    </xdr:from>
    <xdr:to>
      <xdr:col>6</xdr:col>
      <xdr:colOff>228600</xdr:colOff>
      <xdr:row>36</xdr:row>
      <xdr:rowOff>19049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361950</xdr:colOff>
      <xdr:row>2</xdr:row>
      <xdr:rowOff>9525</xdr:rowOff>
    </xdr:from>
    <xdr:to>
      <xdr:col>12</xdr:col>
      <xdr:colOff>57150</xdr:colOff>
      <xdr:row>16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495300</xdr:colOff>
      <xdr:row>5</xdr:row>
      <xdr:rowOff>161925</xdr:rowOff>
    </xdr:from>
    <xdr:to>
      <xdr:col>18</xdr:col>
      <xdr:colOff>190500</xdr:colOff>
      <xdr:row>20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9</xdr:row>
      <xdr:rowOff>76200</xdr:rowOff>
    </xdr:from>
    <xdr:to>
      <xdr:col>15</xdr:col>
      <xdr:colOff>47625</xdr:colOff>
      <xdr:row>23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5</xdr:row>
      <xdr:rowOff>19050</xdr:rowOff>
    </xdr:from>
    <xdr:to>
      <xdr:col>13</xdr:col>
      <xdr:colOff>295275</xdr:colOff>
      <xdr:row>19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8</xdr:row>
      <xdr:rowOff>142875</xdr:rowOff>
    </xdr:from>
    <xdr:to>
      <xdr:col>14</xdr:col>
      <xdr:colOff>466725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190500</xdr:colOff>
      <xdr:row>27</xdr:row>
      <xdr:rowOff>38100</xdr:rowOff>
    </xdr:from>
    <xdr:to>
      <xdr:col>14</xdr:col>
      <xdr:colOff>495300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20</xdr:row>
      <xdr:rowOff>180975</xdr:rowOff>
    </xdr:from>
    <xdr:to>
      <xdr:col>6</xdr:col>
      <xdr:colOff>428625</xdr:colOff>
      <xdr:row>35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11</xdr:row>
      <xdr:rowOff>114300</xdr:rowOff>
    </xdr:from>
    <xdr:to>
      <xdr:col>12</xdr:col>
      <xdr:colOff>466725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161925</xdr:rowOff>
    </xdr:from>
    <xdr:to>
      <xdr:col>13</xdr:col>
      <xdr:colOff>447675</xdr:colOff>
      <xdr:row>26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>
      <selection activeCell="D7" sqref="D7"/>
    </sheetView>
  </sheetViews>
  <sheetFormatPr defaultRowHeight="15"/>
  <cols>
    <col min="2" max="2" width="16" customWidth="1"/>
    <col min="4" max="4" width="21.5703125" customWidth="1"/>
  </cols>
  <sheetData>
    <row r="1" spans="1:9">
      <c r="A1" s="16" t="s">
        <v>82</v>
      </c>
      <c r="B1" s="16"/>
      <c r="C1" s="16"/>
      <c r="D1" s="16"/>
      <c r="E1" s="16"/>
      <c r="F1" s="16"/>
      <c r="G1" s="16"/>
      <c r="H1" s="16"/>
      <c r="I1" s="16"/>
    </row>
    <row r="3" spans="1:9">
      <c r="A3" s="27" t="s">
        <v>0</v>
      </c>
      <c r="B3" s="27" t="s">
        <v>1</v>
      </c>
      <c r="D3" s="2" t="s">
        <v>2</v>
      </c>
    </row>
    <row r="4" spans="1:9">
      <c r="A4" s="28">
        <v>0</v>
      </c>
      <c r="B4" s="28">
        <f>BINOMDIST(A4, 10, 0.6, FALSE)</f>
        <v>1.0485760000000014E-4</v>
      </c>
      <c r="D4" s="2" t="s">
        <v>3</v>
      </c>
    </row>
    <row r="5" spans="1:9">
      <c r="A5" s="28">
        <v>1</v>
      </c>
      <c r="B5" s="28">
        <f t="shared" ref="B5:B14" si="0">BINOMDIST(A5, 10, 0.6, FALSE)</f>
        <v>1.5728640000000006E-3</v>
      </c>
    </row>
    <row r="6" spans="1:9">
      <c r="A6" s="28">
        <v>2</v>
      </c>
      <c r="B6" s="28">
        <f t="shared" si="0"/>
        <v>1.0616832000000005E-2</v>
      </c>
    </row>
    <row r="7" spans="1:9">
      <c r="A7" s="28">
        <v>3</v>
      </c>
      <c r="B7" s="28">
        <f t="shared" si="0"/>
        <v>4.2467328000000019E-2</v>
      </c>
    </row>
    <row r="8" spans="1:9">
      <c r="A8" s="28">
        <v>4</v>
      </c>
      <c r="B8" s="28">
        <f t="shared" si="0"/>
        <v>0.11147673600000003</v>
      </c>
    </row>
    <row r="9" spans="1:9">
      <c r="A9" s="28">
        <v>5</v>
      </c>
      <c r="B9" s="28">
        <f t="shared" si="0"/>
        <v>0.20065812480000017</v>
      </c>
    </row>
    <row r="10" spans="1:9">
      <c r="A10" s="28">
        <v>6</v>
      </c>
      <c r="B10" s="28">
        <f t="shared" si="0"/>
        <v>0.25082265599999998</v>
      </c>
    </row>
    <row r="11" spans="1:9">
      <c r="A11" s="28">
        <v>7</v>
      </c>
      <c r="B11" s="28">
        <f t="shared" si="0"/>
        <v>0.21499084799999993</v>
      </c>
    </row>
    <row r="12" spans="1:9">
      <c r="A12" s="28">
        <v>8</v>
      </c>
      <c r="B12" s="28">
        <f t="shared" si="0"/>
        <v>0.12093235199999998</v>
      </c>
    </row>
    <row r="13" spans="1:9">
      <c r="A13" s="28">
        <v>9</v>
      </c>
      <c r="B13" s="28">
        <f t="shared" si="0"/>
        <v>4.0310783999999995E-2</v>
      </c>
    </row>
    <row r="14" spans="1:9">
      <c r="A14" s="28">
        <v>10</v>
      </c>
      <c r="B14" s="28">
        <f t="shared" si="0"/>
        <v>6.0466176E-3</v>
      </c>
    </row>
    <row r="15" spans="1:9">
      <c r="A15" s="3"/>
      <c r="B15" s="3"/>
    </row>
  </sheetData>
  <mergeCells count="1">
    <mergeCell ref="A1:I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4"/>
  <sheetViews>
    <sheetView workbookViewId="0">
      <selection activeCell="A4" sqref="A4:O6"/>
    </sheetView>
  </sheetViews>
  <sheetFormatPr defaultRowHeight="15"/>
  <cols>
    <col min="2" max="2" width="12" bestFit="1" customWidth="1"/>
    <col min="3" max="3" width="17.140625" customWidth="1"/>
  </cols>
  <sheetData>
    <row r="1" spans="1:15">
      <c r="A1" s="16" t="s">
        <v>83</v>
      </c>
      <c r="B1" s="16"/>
      <c r="C1" s="16"/>
      <c r="D1" s="16"/>
      <c r="E1" s="16"/>
    </row>
    <row r="2" spans="1:15">
      <c r="A2" s="16"/>
      <c r="B2" s="16"/>
      <c r="C2" s="16"/>
      <c r="D2" s="16"/>
      <c r="E2" s="16"/>
    </row>
    <row r="4" spans="1:15">
      <c r="A4" s="17" t="s">
        <v>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spans="1:1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1:1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9" spans="1:15">
      <c r="B9" s="1" t="s">
        <v>0</v>
      </c>
      <c r="C9" s="1" t="s">
        <v>8</v>
      </c>
    </row>
    <row r="10" spans="1:15">
      <c r="B10" s="1" t="s">
        <v>5</v>
      </c>
      <c r="C10" s="10">
        <v>0.375</v>
      </c>
    </row>
    <row r="11" spans="1:15">
      <c r="B11" s="1" t="s">
        <v>6</v>
      </c>
      <c r="C11" s="10">
        <v>0.5</v>
      </c>
    </row>
    <row r="12" spans="1:15">
      <c r="B12" s="1" t="s">
        <v>7</v>
      </c>
      <c r="C12" s="10">
        <v>0.125</v>
      </c>
    </row>
    <row r="13" spans="1:15">
      <c r="B13" s="1"/>
      <c r="C13" s="1"/>
    </row>
    <row r="14" spans="1:15">
      <c r="B14" s="1"/>
      <c r="C14" s="1">
        <f>MULTINOMIAL(4,6,10)*(3/8)^4*(1/2)^6*(1/8)^10</f>
        <v>1.1165111715172311E-5</v>
      </c>
    </row>
  </sheetData>
  <mergeCells count="2">
    <mergeCell ref="A4:O6"/>
    <mergeCell ref="A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6"/>
  <sheetViews>
    <sheetView workbookViewId="0">
      <selection activeCell="M14" sqref="M14"/>
    </sheetView>
  </sheetViews>
  <sheetFormatPr defaultRowHeight="15"/>
  <cols>
    <col min="9" max="9" width="9.85546875" customWidth="1"/>
    <col min="10" max="10" width="12.85546875" customWidth="1"/>
  </cols>
  <sheetData>
    <row r="1" spans="1:10">
      <c r="A1" s="16" t="s">
        <v>81</v>
      </c>
      <c r="B1" s="16"/>
      <c r="C1" s="16"/>
      <c r="D1" s="16"/>
      <c r="E1" s="16"/>
    </row>
    <row r="2" spans="1:10">
      <c r="A2" s="16"/>
      <c r="B2" s="16"/>
      <c r="C2" s="16"/>
      <c r="D2" s="16"/>
      <c r="E2" s="16"/>
    </row>
    <row r="4" spans="1:10">
      <c r="A4" s="19" t="s">
        <v>54</v>
      </c>
      <c r="B4" s="19"/>
      <c r="C4" s="19"/>
      <c r="D4" s="19"/>
      <c r="E4" s="19"/>
      <c r="F4" s="19"/>
      <c r="G4" s="19"/>
      <c r="H4" s="19"/>
      <c r="I4" s="19"/>
      <c r="J4" s="19"/>
    </row>
    <row r="5" spans="1:10">
      <c r="A5" s="19"/>
      <c r="B5" s="19"/>
      <c r="C5" s="19"/>
      <c r="D5" s="19"/>
      <c r="E5" s="19"/>
      <c r="F5" s="19"/>
      <c r="G5" s="19"/>
      <c r="H5" s="19"/>
      <c r="I5" s="19"/>
      <c r="J5" s="19"/>
    </row>
    <row r="6" spans="1:10">
      <c r="A6" s="19"/>
      <c r="B6" s="19"/>
      <c r="C6" s="19"/>
      <c r="D6" s="19"/>
      <c r="E6" s="19"/>
      <c r="F6" s="19"/>
      <c r="G6" s="19"/>
      <c r="H6" s="19"/>
      <c r="I6" s="19"/>
      <c r="J6" s="19"/>
    </row>
    <row r="9" spans="1:10">
      <c r="D9" t="s">
        <v>51</v>
      </c>
      <c r="E9">
        <v>3</v>
      </c>
      <c r="F9" t="s">
        <v>52</v>
      </c>
      <c r="G9">
        <f>POISSON(0,3,FALSE)</f>
        <v>4.9787068367865214E-2</v>
      </c>
      <c r="I9" t="s">
        <v>18</v>
      </c>
      <c r="J9" t="s">
        <v>53</v>
      </c>
    </row>
    <row r="10" spans="1:10">
      <c r="D10" t="s">
        <v>18</v>
      </c>
      <c r="E10">
        <v>0</v>
      </c>
      <c r="I10">
        <v>0</v>
      </c>
      <c r="J10">
        <f>POISSON(I10,3,FALSE)</f>
        <v>4.9787068367865214E-2</v>
      </c>
    </row>
    <row r="11" spans="1:10">
      <c r="I11">
        <v>1</v>
      </c>
      <c r="J11">
        <f t="shared" ref="J11:J46" si="0">POISSON(I11,3,FALSE)</f>
        <v>0.14936120510359566</v>
      </c>
    </row>
    <row r="12" spans="1:10">
      <c r="I12">
        <v>2</v>
      </c>
      <c r="J12">
        <f t="shared" si="0"/>
        <v>0.22404180765539347</v>
      </c>
    </row>
    <row r="13" spans="1:10">
      <c r="I13">
        <v>3</v>
      </c>
      <c r="J13">
        <f t="shared" si="0"/>
        <v>0.22404180765539347</v>
      </c>
    </row>
    <row r="14" spans="1:10">
      <c r="I14">
        <v>4</v>
      </c>
      <c r="J14">
        <f t="shared" si="0"/>
        <v>0.16803135574154512</v>
      </c>
    </row>
    <row r="15" spans="1:10">
      <c r="I15">
        <v>5</v>
      </c>
      <c r="J15">
        <f t="shared" si="0"/>
        <v>0.10081881344492706</v>
      </c>
    </row>
    <row r="16" spans="1:10">
      <c r="I16">
        <v>6</v>
      </c>
      <c r="J16">
        <f t="shared" si="0"/>
        <v>5.040940672246353E-2</v>
      </c>
    </row>
    <row r="17" spans="9:10">
      <c r="I17">
        <v>7</v>
      </c>
      <c r="J17">
        <f t="shared" si="0"/>
        <v>2.1604031452484369E-2</v>
      </c>
    </row>
    <row r="18" spans="9:10">
      <c r="I18">
        <v>8</v>
      </c>
      <c r="J18">
        <f t="shared" si="0"/>
        <v>8.1015117946816387E-3</v>
      </c>
    </row>
    <row r="19" spans="9:10">
      <c r="I19">
        <v>9</v>
      </c>
      <c r="J19">
        <f t="shared" si="0"/>
        <v>2.7005039315605461E-3</v>
      </c>
    </row>
    <row r="20" spans="9:10">
      <c r="I20">
        <v>10</v>
      </c>
      <c r="J20">
        <f t="shared" si="0"/>
        <v>8.101511794681638E-4</v>
      </c>
    </row>
    <row r="21" spans="9:10">
      <c r="I21">
        <v>11</v>
      </c>
      <c r="J21">
        <f t="shared" si="0"/>
        <v>2.2095032167313556E-4</v>
      </c>
    </row>
    <row r="22" spans="9:10">
      <c r="I22">
        <v>12</v>
      </c>
      <c r="J22">
        <f t="shared" si="0"/>
        <v>5.523758041828389E-5</v>
      </c>
    </row>
    <row r="23" spans="9:10">
      <c r="I23">
        <v>13</v>
      </c>
      <c r="J23">
        <f t="shared" si="0"/>
        <v>1.2747133942680898E-5</v>
      </c>
    </row>
    <row r="24" spans="9:10">
      <c r="I24">
        <v>14</v>
      </c>
      <c r="J24">
        <f t="shared" si="0"/>
        <v>2.7315287020030495E-6</v>
      </c>
    </row>
    <row r="25" spans="9:10">
      <c r="I25">
        <v>15</v>
      </c>
      <c r="J25">
        <f t="shared" si="0"/>
        <v>5.4630574040060988E-7</v>
      </c>
    </row>
    <row r="26" spans="9:10">
      <c r="I26">
        <v>16</v>
      </c>
      <c r="J26">
        <f t="shared" si="0"/>
        <v>1.0243232632511435E-7</v>
      </c>
    </row>
    <row r="27" spans="9:10">
      <c r="I27">
        <v>17</v>
      </c>
      <c r="J27">
        <f t="shared" si="0"/>
        <v>1.8076292880902532E-8</v>
      </c>
    </row>
    <row r="28" spans="9:10">
      <c r="I28">
        <v>18</v>
      </c>
      <c r="J28">
        <f t="shared" si="0"/>
        <v>3.012715480150422E-9</v>
      </c>
    </row>
    <row r="29" spans="9:10">
      <c r="I29">
        <v>19</v>
      </c>
      <c r="J29">
        <f t="shared" si="0"/>
        <v>4.7569191791848768E-10</v>
      </c>
    </row>
    <row r="30" spans="9:10">
      <c r="I30">
        <v>20</v>
      </c>
      <c r="J30">
        <f t="shared" si="0"/>
        <v>7.1353787687773149E-11</v>
      </c>
    </row>
    <row r="31" spans="9:10">
      <c r="I31">
        <v>21</v>
      </c>
      <c r="J31">
        <f t="shared" si="0"/>
        <v>1.0193398241110449E-11</v>
      </c>
    </row>
    <row r="32" spans="9:10">
      <c r="I32">
        <v>22</v>
      </c>
      <c r="J32">
        <f t="shared" si="0"/>
        <v>1.3900088510605156E-12</v>
      </c>
    </row>
    <row r="33" spans="9:10">
      <c r="I33">
        <v>23</v>
      </c>
      <c r="J33">
        <f t="shared" si="0"/>
        <v>1.8130550231224114E-13</v>
      </c>
    </row>
    <row r="34" spans="9:10">
      <c r="I34">
        <v>24</v>
      </c>
      <c r="J34">
        <f t="shared" si="0"/>
        <v>0</v>
      </c>
    </row>
    <row r="35" spans="9:10">
      <c r="I35">
        <v>25</v>
      </c>
      <c r="J35">
        <f t="shared" si="0"/>
        <v>0</v>
      </c>
    </row>
    <row r="36" spans="9:10">
      <c r="I36">
        <v>26</v>
      </c>
      <c r="J36">
        <f t="shared" si="0"/>
        <v>0</v>
      </c>
    </row>
    <row r="37" spans="9:10">
      <c r="I37">
        <v>27</v>
      </c>
      <c r="J37">
        <f t="shared" si="0"/>
        <v>0</v>
      </c>
    </row>
    <row r="38" spans="9:10">
      <c r="I38">
        <v>28</v>
      </c>
      <c r="J38">
        <f t="shared" si="0"/>
        <v>0</v>
      </c>
    </row>
    <row r="39" spans="9:10">
      <c r="I39">
        <v>29</v>
      </c>
      <c r="J39">
        <f t="shared" si="0"/>
        <v>0</v>
      </c>
    </row>
    <row r="40" spans="9:10">
      <c r="I40">
        <v>30</v>
      </c>
      <c r="J40">
        <f t="shared" si="0"/>
        <v>0</v>
      </c>
    </row>
    <row r="41" spans="9:10">
      <c r="I41">
        <v>31</v>
      </c>
      <c r="J41">
        <f t="shared" si="0"/>
        <v>0</v>
      </c>
    </row>
    <row r="42" spans="9:10">
      <c r="I42">
        <v>32</v>
      </c>
      <c r="J42">
        <f t="shared" si="0"/>
        <v>0</v>
      </c>
    </row>
    <row r="43" spans="9:10">
      <c r="I43">
        <v>33</v>
      </c>
      <c r="J43">
        <f t="shared" si="0"/>
        <v>0</v>
      </c>
    </row>
    <row r="44" spans="9:10">
      <c r="I44">
        <v>34</v>
      </c>
      <c r="J44">
        <f t="shared" si="0"/>
        <v>0</v>
      </c>
    </row>
    <row r="45" spans="9:10">
      <c r="I45">
        <v>35</v>
      </c>
      <c r="J45">
        <f t="shared" si="0"/>
        <v>0</v>
      </c>
    </row>
    <row r="46" spans="9:10">
      <c r="I46">
        <v>36</v>
      </c>
      <c r="J46">
        <f t="shared" si="0"/>
        <v>0</v>
      </c>
    </row>
  </sheetData>
  <mergeCells count="2">
    <mergeCell ref="A4:J6"/>
    <mergeCell ref="A1:E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"/>
  <sheetViews>
    <sheetView workbookViewId="0">
      <selection sqref="A1:K2"/>
    </sheetView>
  </sheetViews>
  <sheetFormatPr defaultRowHeight="15"/>
  <cols>
    <col min="3" max="3" width="12.5703125" customWidth="1"/>
  </cols>
  <sheetData>
    <row r="1" spans="1:11">
      <c r="A1" s="16" t="s">
        <v>104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</row>
    <row r="7" spans="1:11">
      <c r="B7" s="28" t="s">
        <v>9</v>
      </c>
      <c r="C7" s="28">
        <v>10</v>
      </c>
      <c r="E7" s="28" t="s">
        <v>10</v>
      </c>
      <c r="F7" s="28">
        <v>0.5</v>
      </c>
      <c r="H7" s="28" t="s">
        <v>84</v>
      </c>
      <c r="I7" s="28">
        <v>0.5</v>
      </c>
    </row>
    <row r="9" spans="1:11">
      <c r="B9" s="29"/>
      <c r="C9" s="29"/>
    </row>
    <row r="10" spans="1:11">
      <c r="B10" s="30" t="s">
        <v>18</v>
      </c>
      <c r="C10" s="30" t="s">
        <v>105</v>
      </c>
    </row>
    <row r="11" spans="1:11">
      <c r="B11" s="30">
        <v>1</v>
      </c>
      <c r="C11" s="30">
        <v>0.5</v>
      </c>
    </row>
    <row r="12" spans="1:11">
      <c r="B12" s="30">
        <v>2</v>
      </c>
      <c r="C12" s="30">
        <v>0.25</v>
      </c>
    </row>
    <row r="13" spans="1:11">
      <c r="B13" s="30">
        <v>3</v>
      </c>
      <c r="C13" s="30">
        <v>0.125</v>
      </c>
    </row>
    <row r="14" spans="1:11">
      <c r="B14" s="30">
        <v>4</v>
      </c>
      <c r="C14" s="30">
        <v>6.25E-2</v>
      </c>
    </row>
    <row r="15" spans="1:11">
      <c r="B15" s="30">
        <v>5</v>
      </c>
      <c r="C15" s="30">
        <v>3.125E-2</v>
      </c>
    </row>
    <row r="16" spans="1:11">
      <c r="B16" s="30">
        <v>6</v>
      </c>
      <c r="C16" s="30">
        <v>1.5625E-2</v>
      </c>
    </row>
    <row r="17" spans="2:3">
      <c r="B17" s="30">
        <v>7</v>
      </c>
      <c r="C17" s="30">
        <v>7.8130000000000005E-3</v>
      </c>
    </row>
    <row r="18" spans="2:3">
      <c r="B18" s="30">
        <v>8</v>
      </c>
      <c r="C18" s="30">
        <v>3.9060000000000002E-3</v>
      </c>
    </row>
    <row r="19" spans="2:3">
      <c r="B19" s="30">
        <v>9</v>
      </c>
      <c r="C19" s="30">
        <v>1.9530000000000001E-3</v>
      </c>
    </row>
    <row r="20" spans="2:3">
      <c r="B20" s="30">
        <v>10</v>
      </c>
      <c r="C20" s="30">
        <v>9.77E-4</v>
      </c>
    </row>
  </sheetData>
  <mergeCells count="1">
    <mergeCell ref="A1:K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3"/>
  <sheetViews>
    <sheetView workbookViewId="0">
      <selection activeCell="G24" sqref="G24"/>
    </sheetView>
  </sheetViews>
  <sheetFormatPr defaultRowHeight="15"/>
  <cols>
    <col min="2" max="2" width="11.5703125" customWidth="1"/>
    <col min="3" max="3" width="13.7109375" customWidth="1"/>
  </cols>
  <sheetData>
    <row r="1" spans="1:15">
      <c r="A1" s="23" t="s">
        <v>106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5" spans="1:15">
      <c r="A5" s="16" t="s">
        <v>107</v>
      </c>
      <c r="B5" s="16"/>
      <c r="C5" s="16"/>
      <c r="D5" s="16"/>
      <c r="E5" s="16"/>
      <c r="F5" s="16"/>
    </row>
    <row r="7" spans="1:15">
      <c r="B7" s="31" t="s">
        <v>108</v>
      </c>
      <c r="C7" s="31" t="s">
        <v>109</v>
      </c>
    </row>
    <row r="8" spans="1:15">
      <c r="B8" s="31">
        <v>1</v>
      </c>
      <c r="C8" s="31">
        <f>1/6</f>
        <v>0.16666666666666666</v>
      </c>
    </row>
    <row r="9" spans="1:15">
      <c r="B9" s="31">
        <v>2</v>
      </c>
      <c r="C9" s="31">
        <f t="shared" ref="C9:C13" si="0">1/6</f>
        <v>0.16666666666666666</v>
      </c>
    </row>
    <row r="10" spans="1:15">
      <c r="B10" s="31">
        <v>3</v>
      </c>
      <c r="C10" s="31">
        <f t="shared" si="0"/>
        <v>0.16666666666666666</v>
      </c>
    </row>
    <row r="11" spans="1:15">
      <c r="B11" s="31">
        <v>4</v>
      </c>
      <c r="C11" s="31">
        <f t="shared" si="0"/>
        <v>0.16666666666666666</v>
      </c>
    </row>
    <row r="12" spans="1:15">
      <c r="B12" s="31">
        <v>5</v>
      </c>
      <c r="C12" s="31">
        <f t="shared" si="0"/>
        <v>0.16666666666666666</v>
      </c>
    </row>
    <row r="13" spans="1:15">
      <c r="B13" s="31">
        <v>6</v>
      </c>
      <c r="C13" s="31">
        <f t="shared" si="0"/>
        <v>0.16666666666666666</v>
      </c>
    </row>
  </sheetData>
  <mergeCells count="2">
    <mergeCell ref="A1:O2"/>
    <mergeCell ref="A5:F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P37"/>
  <sheetViews>
    <sheetView topLeftCell="A4" workbookViewId="0">
      <selection sqref="A1:J2"/>
    </sheetView>
  </sheetViews>
  <sheetFormatPr defaultRowHeight="15"/>
  <cols>
    <col min="2" max="2" width="14" customWidth="1"/>
    <col min="3" max="3" width="18.85546875" customWidth="1"/>
    <col min="4" max="4" width="19" customWidth="1"/>
  </cols>
  <sheetData>
    <row r="1" spans="1:16">
      <c r="A1" s="16" t="s">
        <v>110</v>
      </c>
      <c r="B1" s="16"/>
      <c r="C1" s="16"/>
      <c r="D1" s="16"/>
      <c r="E1" s="16"/>
      <c r="F1" s="16"/>
      <c r="G1" s="16"/>
      <c r="H1" s="16"/>
      <c r="I1" s="16"/>
      <c r="J1" s="16"/>
    </row>
    <row r="2" spans="1:16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6">
      <c r="A3" s="21" t="s">
        <v>71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spans="1:16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1:16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16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10" spans="1:16">
      <c r="B10" s="1" t="s">
        <v>72</v>
      </c>
      <c r="C10" s="1">
        <v>10</v>
      </c>
    </row>
    <row r="11" spans="1:16">
      <c r="B11" s="1" t="s">
        <v>73</v>
      </c>
      <c r="C11" s="1">
        <v>0.1</v>
      </c>
    </row>
    <row r="12" spans="1:16">
      <c r="B12" s="1" t="s">
        <v>74</v>
      </c>
      <c r="C12" s="1" t="s">
        <v>75</v>
      </c>
    </row>
    <row r="13" spans="1:16">
      <c r="B13" s="1"/>
      <c r="C13" s="1"/>
    </row>
    <row r="15" spans="1:16">
      <c r="B15" s="5" t="s">
        <v>0</v>
      </c>
      <c r="C15" s="5" t="s">
        <v>74</v>
      </c>
      <c r="D15" s="5" t="s">
        <v>76</v>
      </c>
    </row>
    <row r="16" spans="1:16">
      <c r="B16" s="5">
        <v>0</v>
      </c>
      <c r="C16" s="5">
        <f>0.1*EXP(-0.1*B16)</f>
        <v>0.1</v>
      </c>
      <c r="D16" s="5">
        <f>1-EXP(-0.1*B16)</f>
        <v>0</v>
      </c>
    </row>
    <row r="17" spans="2:4">
      <c r="B17" s="5">
        <v>2</v>
      </c>
      <c r="C17" s="5">
        <f t="shared" ref="C17:C22" si="0">0.1*EXP(-0.1*B17)</f>
        <v>8.1873075307798193E-2</v>
      </c>
      <c r="D17" s="5">
        <f>1-EXP(-0.1*B17)</f>
        <v>0.18126924692201818</v>
      </c>
    </row>
    <row r="18" spans="2:4">
      <c r="B18" s="5">
        <v>4</v>
      </c>
      <c r="C18" s="5">
        <f t="shared" si="0"/>
        <v>6.7032004603563941E-2</v>
      </c>
      <c r="D18" s="5">
        <f t="shared" ref="D18:D22" si="1">1-EXP(-0.1*B18)</f>
        <v>0.32967995396436067</v>
      </c>
    </row>
    <row r="19" spans="2:4">
      <c r="B19" s="5">
        <v>6</v>
      </c>
      <c r="C19" s="5">
        <f t="shared" si="0"/>
        <v>5.4881163609402643E-2</v>
      </c>
      <c r="D19" s="5">
        <f t="shared" si="1"/>
        <v>0.45118836390597361</v>
      </c>
    </row>
    <row r="20" spans="2:4">
      <c r="B20" s="5">
        <v>8</v>
      </c>
      <c r="C20" s="5">
        <f t="shared" si="0"/>
        <v>4.4932896411722156E-2</v>
      </c>
      <c r="D20" s="5">
        <f t="shared" si="1"/>
        <v>0.55067103588277844</v>
      </c>
    </row>
    <row r="21" spans="2:4">
      <c r="B21" s="5">
        <v>10</v>
      </c>
      <c r="C21" s="5">
        <f t="shared" si="0"/>
        <v>3.6787944117144235E-2</v>
      </c>
      <c r="D21" s="5">
        <f t="shared" si="1"/>
        <v>0.63212055882855767</v>
      </c>
    </row>
    <row r="22" spans="2:4">
      <c r="B22" s="5">
        <v>12</v>
      </c>
      <c r="C22" s="5">
        <f t="shared" si="0"/>
        <v>3.0119421191220203E-2</v>
      </c>
      <c r="D22" s="5">
        <f t="shared" si="1"/>
        <v>0.69880578808779803</v>
      </c>
    </row>
    <row r="25" spans="2:4">
      <c r="B25" s="1" t="s">
        <v>77</v>
      </c>
      <c r="C25" s="1">
        <f>1-EXP(-0.1*8)</f>
        <v>0.55067103588277844</v>
      </c>
    </row>
    <row r="26" spans="2:4">
      <c r="B26" s="1" t="s">
        <v>78</v>
      </c>
      <c r="C26" s="1">
        <f>1-EXP(-0.1*6)</f>
        <v>0.45118836390597361</v>
      </c>
    </row>
    <row r="27" spans="2:4">
      <c r="B27" s="1" t="s">
        <v>79</v>
      </c>
      <c r="C27" s="1">
        <f>EXP(-0.1*6)-EXP(-0.1*8)</f>
        <v>9.9482671976804826E-2</v>
      </c>
    </row>
    <row r="31" spans="2:4">
      <c r="B31" s="20" t="s">
        <v>80</v>
      </c>
      <c r="C31" s="16"/>
      <c r="D31" s="16"/>
    </row>
    <row r="32" spans="2:4">
      <c r="B32" s="16"/>
      <c r="C32" s="16"/>
      <c r="D32" s="16"/>
    </row>
    <row r="33" spans="2:4">
      <c r="B33" s="16"/>
      <c r="C33" s="16"/>
      <c r="D33" s="16"/>
    </row>
    <row r="34" spans="2:4">
      <c r="B34" s="16"/>
      <c r="C34" s="16"/>
      <c r="D34" s="16"/>
    </row>
    <row r="35" spans="2:4">
      <c r="B35" s="16"/>
      <c r="C35" s="16"/>
      <c r="D35" s="16"/>
    </row>
    <row r="36" spans="2:4">
      <c r="B36" s="16"/>
      <c r="C36" s="16"/>
      <c r="D36" s="16"/>
    </row>
    <row r="37" spans="2:4">
      <c r="B37" s="16"/>
      <c r="C37" s="16"/>
      <c r="D37" s="16"/>
    </row>
  </sheetData>
  <mergeCells count="3">
    <mergeCell ref="B31:D37"/>
    <mergeCell ref="A3:P7"/>
    <mergeCell ref="A1:J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selection activeCell="J31" sqref="J31"/>
    </sheetView>
  </sheetViews>
  <sheetFormatPr defaultRowHeight="15"/>
  <cols>
    <col min="4" max="4" width="20.28515625" customWidth="1"/>
    <col min="5" max="5" width="16.85546875" customWidth="1"/>
  </cols>
  <sheetData>
    <row r="1" spans="1:10">
      <c r="A1" s="16" t="s">
        <v>55</v>
      </c>
      <c r="B1" s="16"/>
      <c r="C1" s="16"/>
      <c r="D1" s="16"/>
      <c r="E1" s="16"/>
      <c r="F1" s="16"/>
      <c r="G1" s="16"/>
      <c r="H1" s="16"/>
      <c r="I1" s="16"/>
      <c r="J1" s="16"/>
    </row>
    <row r="2" spans="1:10">
      <c r="A2" s="16"/>
      <c r="B2" s="16"/>
      <c r="C2" s="16"/>
      <c r="D2" s="16"/>
      <c r="E2" s="16"/>
      <c r="F2" s="16"/>
      <c r="G2" s="16"/>
      <c r="H2" s="16"/>
      <c r="I2" s="16"/>
      <c r="J2" s="16"/>
    </row>
    <row r="5" spans="1:10">
      <c r="A5" s="22" t="s">
        <v>56</v>
      </c>
      <c r="B5" s="22"/>
      <c r="C5" s="22"/>
      <c r="D5" s="22"/>
      <c r="E5" s="22"/>
      <c r="F5" s="22"/>
      <c r="G5" s="22"/>
      <c r="H5" s="22"/>
      <c r="I5" s="22"/>
    </row>
    <row r="6" spans="1:10">
      <c r="A6" s="22"/>
      <c r="B6" s="22"/>
      <c r="C6" s="22"/>
      <c r="D6" s="22"/>
      <c r="E6" s="22"/>
      <c r="F6" s="22"/>
      <c r="G6" s="22"/>
      <c r="H6" s="22"/>
      <c r="I6" s="22"/>
    </row>
    <row r="7" spans="1:10">
      <c r="A7" s="22"/>
      <c r="B7" s="22"/>
      <c r="C7" s="22"/>
      <c r="D7" s="22"/>
      <c r="E7" s="22"/>
      <c r="F7" s="22"/>
      <c r="G7" s="22"/>
      <c r="H7" s="22"/>
      <c r="I7" s="22"/>
    </row>
    <row r="8" spans="1:10">
      <c r="A8" s="22"/>
      <c r="B8" s="22"/>
      <c r="C8" s="22"/>
      <c r="D8" s="22"/>
      <c r="E8" s="22"/>
      <c r="F8" s="22"/>
      <c r="G8" s="22"/>
      <c r="H8" s="22"/>
      <c r="I8" s="22"/>
    </row>
    <row r="10" spans="1:10">
      <c r="C10" s="1" t="s">
        <v>44</v>
      </c>
      <c r="D10" s="1">
        <v>1</v>
      </c>
    </row>
    <row r="11" spans="1:10">
      <c r="C11" s="1" t="s">
        <v>45</v>
      </c>
      <c r="D11" s="1">
        <v>55</v>
      </c>
    </row>
    <row r="13" spans="1:10">
      <c r="C13" s="6" t="s">
        <v>58</v>
      </c>
      <c r="D13" s="6" t="s">
        <v>57</v>
      </c>
      <c r="E13" s="6">
        <f>(D10+D11)/2</f>
        <v>28</v>
      </c>
    </row>
    <row r="14" spans="1:10">
      <c r="C14" s="6" t="s">
        <v>59</v>
      </c>
      <c r="D14" s="6" t="s">
        <v>60</v>
      </c>
      <c r="E14" s="6">
        <f>SQRT(((D11-D10)^2)/12)</f>
        <v>15.588457268119896</v>
      </c>
    </row>
    <row r="15" spans="1:10">
      <c r="C15" s="6" t="s">
        <v>66</v>
      </c>
      <c r="D15" s="6" t="s">
        <v>61</v>
      </c>
      <c r="E15" s="6">
        <f>1/(D11-D10)</f>
        <v>1.8518518518518517E-2</v>
      </c>
    </row>
    <row r="16" spans="1:10">
      <c r="C16" s="6" t="s">
        <v>67</v>
      </c>
      <c r="D16" s="6" t="s">
        <v>62</v>
      </c>
      <c r="E16" s="6">
        <f>(D11-13)/(D11-D10)</f>
        <v>0.77777777777777779</v>
      </c>
    </row>
    <row r="17" spans="3:5">
      <c r="C17" s="6" t="s">
        <v>68</v>
      </c>
      <c r="D17" s="6" t="s">
        <v>63</v>
      </c>
      <c r="E17" s="6">
        <f>(13-D10)/(D11-D10)</f>
        <v>0.22222222222222221</v>
      </c>
    </row>
    <row r="18" spans="3:5">
      <c r="C18" s="6" t="s">
        <v>69</v>
      </c>
      <c r="D18" s="6" t="s">
        <v>64</v>
      </c>
      <c r="E18" s="6">
        <f>(40-30)/(D11-D10)</f>
        <v>0.18518518518518517</v>
      </c>
    </row>
    <row r="19" spans="3:5">
      <c r="C19" s="6" t="s">
        <v>70</v>
      </c>
      <c r="D19" s="6" t="s">
        <v>65</v>
      </c>
      <c r="E19" s="6">
        <f>(35-13)/(D11-D10)</f>
        <v>0.40740740740740738</v>
      </c>
    </row>
  </sheetData>
  <mergeCells count="2">
    <mergeCell ref="A1:J2"/>
    <mergeCell ref="A5:I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>
      <selection activeCell="E6" sqref="E6"/>
    </sheetView>
  </sheetViews>
  <sheetFormatPr defaultRowHeight="15"/>
  <cols>
    <col min="3" max="3" width="18.140625" customWidth="1"/>
  </cols>
  <sheetData>
    <row r="1" spans="1:13">
      <c r="A1" s="16" t="s">
        <v>111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5" spans="1:13">
      <c r="E5" t="s">
        <v>112</v>
      </c>
      <c r="F5">
        <v>1</v>
      </c>
    </row>
    <row r="6" spans="1:13">
      <c r="B6" t="s">
        <v>18</v>
      </c>
      <c r="C6" t="s">
        <v>1</v>
      </c>
      <c r="E6" t="s">
        <v>113</v>
      </c>
      <c r="F6">
        <v>0</v>
      </c>
    </row>
    <row r="7" spans="1:13">
      <c r="B7">
        <v>-15</v>
      </c>
      <c r="C7">
        <f>NORMDIST(B7,0,1,FALSE)</f>
        <v>5.5307095498444154E-50</v>
      </c>
    </row>
    <row r="8" spans="1:13">
      <c r="B8">
        <v>-14</v>
      </c>
      <c r="C8">
        <f t="shared" ref="C8:C51" si="0">NORMDIST(B8,0,1,FALSE)</f>
        <v>1.0966065593889711E-43</v>
      </c>
    </row>
    <row r="9" spans="1:13">
      <c r="B9">
        <v>-13</v>
      </c>
      <c r="C9">
        <f t="shared" si="0"/>
        <v>7.9988277570068116E-38</v>
      </c>
    </row>
    <row r="10" spans="1:13">
      <c r="B10">
        <v>-12</v>
      </c>
      <c r="C10">
        <f t="shared" si="0"/>
        <v>2.1463837356630602E-32</v>
      </c>
    </row>
    <row r="11" spans="1:13">
      <c r="B11">
        <v>-11</v>
      </c>
      <c r="C11">
        <f t="shared" si="0"/>
        <v>2.1188192535093534E-27</v>
      </c>
    </row>
    <row r="12" spans="1:13">
      <c r="B12">
        <v>-10</v>
      </c>
      <c r="C12">
        <f>NORMDIST(B12,0,1,FALSE)</f>
        <v>7.6945986267064188E-23</v>
      </c>
    </row>
    <row r="13" spans="1:13">
      <c r="B13">
        <v>-9</v>
      </c>
      <c r="C13">
        <f t="shared" si="0"/>
        <v>1.0279773571668915E-18</v>
      </c>
    </row>
    <row r="14" spans="1:13">
      <c r="B14">
        <v>-8</v>
      </c>
      <c r="C14">
        <f t="shared" si="0"/>
        <v>5.0522710835368919E-15</v>
      </c>
    </row>
    <row r="15" spans="1:13">
      <c r="B15">
        <v>-7</v>
      </c>
      <c r="C15">
        <f t="shared" si="0"/>
        <v>9.1347204083645936E-12</v>
      </c>
    </row>
    <row r="16" spans="1:13">
      <c r="B16">
        <v>-6</v>
      </c>
      <c r="C16">
        <f t="shared" si="0"/>
        <v>6.0758828498232853E-9</v>
      </c>
    </row>
    <row r="17" spans="2:3">
      <c r="B17">
        <v>-5</v>
      </c>
      <c r="C17">
        <f t="shared" si="0"/>
        <v>1.4867195147342977E-6</v>
      </c>
    </row>
    <row r="18" spans="2:3">
      <c r="B18">
        <v>-4</v>
      </c>
      <c r="C18">
        <f t="shared" si="0"/>
        <v>1.3383022576488534E-4</v>
      </c>
    </row>
    <row r="19" spans="2:3">
      <c r="B19">
        <v>-3</v>
      </c>
      <c r="C19">
        <f t="shared" si="0"/>
        <v>4.4318484119380067E-3</v>
      </c>
    </row>
    <row r="20" spans="2:3">
      <c r="B20">
        <v>-2</v>
      </c>
      <c r="C20">
        <f t="shared" si="0"/>
        <v>5.3990966513188049E-2</v>
      </c>
    </row>
    <row r="21" spans="2:3">
      <c r="B21">
        <v>-1</v>
      </c>
      <c r="C21">
        <f t="shared" si="0"/>
        <v>0.24197072451914334</v>
      </c>
    </row>
    <row r="22" spans="2:3">
      <c r="B22">
        <v>0</v>
      </c>
      <c r="C22">
        <f t="shared" si="0"/>
        <v>0.39894228040143265</v>
      </c>
    </row>
    <row r="23" spans="2:3">
      <c r="B23">
        <v>1</v>
      </c>
      <c r="C23">
        <f t="shared" si="0"/>
        <v>0.24197072451914334</v>
      </c>
    </row>
    <row r="24" spans="2:3">
      <c r="B24">
        <v>2</v>
      </c>
      <c r="C24">
        <f t="shared" si="0"/>
        <v>5.3990966513188049E-2</v>
      </c>
    </row>
    <row r="25" spans="2:3">
      <c r="B25">
        <v>3</v>
      </c>
      <c r="C25">
        <f t="shared" si="0"/>
        <v>4.4318484119380067E-3</v>
      </c>
    </row>
    <row r="26" spans="2:3">
      <c r="B26">
        <v>4</v>
      </c>
      <c r="C26">
        <f t="shared" si="0"/>
        <v>1.3383022576488534E-4</v>
      </c>
    </row>
    <row r="27" spans="2:3">
      <c r="B27">
        <v>5</v>
      </c>
      <c r="C27">
        <f t="shared" si="0"/>
        <v>1.4867195147342977E-6</v>
      </c>
    </row>
    <row r="28" spans="2:3">
      <c r="B28">
        <v>6</v>
      </c>
      <c r="C28">
        <f t="shared" si="0"/>
        <v>6.0758828498232853E-9</v>
      </c>
    </row>
    <row r="29" spans="2:3">
      <c r="B29">
        <v>7</v>
      </c>
      <c r="C29">
        <f t="shared" si="0"/>
        <v>9.1347204083645936E-12</v>
      </c>
    </row>
    <row r="30" spans="2:3">
      <c r="B30">
        <v>8</v>
      </c>
      <c r="C30">
        <f t="shared" si="0"/>
        <v>5.0522710835368919E-15</v>
      </c>
    </row>
    <row r="31" spans="2:3">
      <c r="B31">
        <v>9</v>
      </c>
      <c r="C31">
        <f t="shared" si="0"/>
        <v>1.0279773571668915E-18</v>
      </c>
    </row>
    <row r="32" spans="2:3">
      <c r="B32">
        <v>10</v>
      </c>
      <c r="C32">
        <f t="shared" si="0"/>
        <v>7.6945986267064188E-23</v>
      </c>
    </row>
    <row r="33" spans="2:3">
      <c r="B33">
        <v>11</v>
      </c>
      <c r="C33">
        <f t="shared" si="0"/>
        <v>2.1188192535093534E-27</v>
      </c>
    </row>
    <row r="34" spans="2:3">
      <c r="B34">
        <v>12</v>
      </c>
      <c r="C34">
        <f t="shared" si="0"/>
        <v>2.1463837356630602E-32</v>
      </c>
    </row>
    <row r="35" spans="2:3">
      <c r="B35">
        <v>13</v>
      </c>
      <c r="C35">
        <f t="shared" si="0"/>
        <v>7.9988277570068116E-38</v>
      </c>
    </row>
    <row r="36" spans="2:3">
      <c r="B36">
        <v>14</v>
      </c>
      <c r="C36">
        <f t="shared" si="0"/>
        <v>1.0966065593889711E-43</v>
      </c>
    </row>
    <row r="37" spans="2:3">
      <c r="B37">
        <v>15</v>
      </c>
      <c r="C37">
        <f t="shared" si="0"/>
        <v>5.5307095498444154E-50</v>
      </c>
    </row>
    <row r="38" spans="2:3">
      <c r="B38">
        <v>16</v>
      </c>
      <c r="C38">
        <f t="shared" si="0"/>
        <v>1.0261630727919034E-56</v>
      </c>
    </row>
    <row r="39" spans="2:3">
      <c r="B39">
        <v>17</v>
      </c>
      <c r="C39">
        <f t="shared" si="0"/>
        <v>7.0041821343185812E-64</v>
      </c>
    </row>
    <row r="40" spans="2:3">
      <c r="B40">
        <v>18</v>
      </c>
      <c r="C40">
        <f t="shared" si="0"/>
        <v>1.7587495425951037E-71</v>
      </c>
    </row>
    <row r="41" spans="2:3">
      <c r="B41">
        <v>19</v>
      </c>
      <c r="C41">
        <f t="shared" si="0"/>
        <v>1.6246360367736078E-79</v>
      </c>
    </row>
    <row r="42" spans="2:3">
      <c r="B42">
        <v>20</v>
      </c>
      <c r="C42">
        <f t="shared" si="0"/>
        <v>5.5209483621597624E-88</v>
      </c>
    </row>
    <row r="43" spans="2:3">
      <c r="B43">
        <v>21</v>
      </c>
      <c r="C43">
        <f t="shared" si="0"/>
        <v>6.9020294201272195E-97</v>
      </c>
    </row>
    <row r="44" spans="2:3">
      <c r="B44">
        <v>22</v>
      </c>
      <c r="C44">
        <f t="shared" si="0"/>
        <v>3.1742815528252622E-106</v>
      </c>
    </row>
    <row r="45" spans="2:3">
      <c r="B45">
        <v>23</v>
      </c>
      <c r="C45">
        <f t="shared" si="0"/>
        <v>5.3705603650205916E-116</v>
      </c>
    </row>
    <row r="46" spans="2:3">
      <c r="B46">
        <v>24</v>
      </c>
      <c r="C46">
        <f t="shared" si="0"/>
        <v>3.3427144417944571E-126</v>
      </c>
    </row>
    <row r="47" spans="2:3">
      <c r="B47">
        <v>25</v>
      </c>
      <c r="C47">
        <f t="shared" si="0"/>
        <v>7.6539297364193922E-137</v>
      </c>
    </row>
    <row r="48" spans="2:3">
      <c r="B48">
        <v>26</v>
      </c>
      <c r="C48">
        <f t="shared" si="0"/>
        <v>6.4472599713978517E-148</v>
      </c>
    </row>
    <row r="49" spans="2:3">
      <c r="B49">
        <v>27</v>
      </c>
      <c r="C49">
        <f t="shared" si="0"/>
        <v>1.9978892591682794E-159</v>
      </c>
    </row>
    <row r="50" spans="2:3">
      <c r="B50">
        <v>28</v>
      </c>
      <c r="C50">
        <f t="shared" si="0"/>
        <v>2.2775774787366608E-171</v>
      </c>
    </row>
    <row r="51" spans="2:3">
      <c r="B51">
        <v>29</v>
      </c>
      <c r="C51">
        <f t="shared" si="0"/>
        <v>9.551694541948838E-184</v>
      </c>
    </row>
  </sheetData>
  <mergeCells count="1">
    <mergeCell ref="A1:M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selection activeCell="F7" sqref="F7:F8"/>
    </sheetView>
  </sheetViews>
  <sheetFormatPr defaultRowHeight="15"/>
  <cols>
    <col min="3" max="3" width="22.140625" customWidth="1"/>
    <col min="4" max="4" width="16.140625" customWidth="1"/>
  </cols>
  <sheetData>
    <row r="1" spans="1:10">
      <c r="A1" s="16" t="s">
        <v>14</v>
      </c>
      <c r="B1" s="16"/>
      <c r="C1" s="16"/>
    </row>
    <row r="2" spans="1:10">
      <c r="A2" s="16"/>
      <c r="B2" s="16"/>
      <c r="C2" s="16"/>
    </row>
    <row r="4" spans="1:10">
      <c r="A4" s="20" t="s">
        <v>13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ht="27" customHeight="1">
      <c r="A5" s="16"/>
      <c r="B5" s="16"/>
      <c r="C5" s="16"/>
      <c r="D5" s="16"/>
      <c r="E5" s="16"/>
      <c r="F5" s="16"/>
      <c r="G5" s="16"/>
      <c r="H5" s="16"/>
      <c r="I5" s="16"/>
      <c r="J5" s="16"/>
    </row>
    <row r="9" spans="1:10">
      <c r="C9" s="1" t="s">
        <v>9</v>
      </c>
      <c r="D9" s="1">
        <v>1000</v>
      </c>
    </row>
    <row r="10" spans="1:10">
      <c r="C10" s="1" t="s">
        <v>10</v>
      </c>
      <c r="D10" s="1">
        <v>0.05</v>
      </c>
    </row>
    <row r="11" spans="1:10">
      <c r="C11" s="1" t="s">
        <v>11</v>
      </c>
      <c r="D11" s="1">
        <v>50</v>
      </c>
    </row>
    <row r="12" spans="1:10">
      <c r="C12" s="1" t="s">
        <v>12</v>
      </c>
      <c r="D12" s="1">
        <f>BINOMDIST(50,1000,0.05,FALSE)</f>
        <v>5.7787983714105526E-2</v>
      </c>
    </row>
  </sheetData>
  <mergeCells count="2">
    <mergeCell ref="A4:J5"/>
    <mergeCell ref="A1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3"/>
  <sheetViews>
    <sheetView workbookViewId="0">
      <selection activeCell="G24" sqref="G24"/>
    </sheetView>
  </sheetViews>
  <sheetFormatPr defaultRowHeight="15"/>
  <cols>
    <col min="3" max="3" width="9" customWidth="1"/>
    <col min="4" max="4" width="19.7109375" customWidth="1"/>
  </cols>
  <sheetData>
    <row r="1" spans="1:14">
      <c r="A1" s="16" t="s">
        <v>15</v>
      </c>
      <c r="B1" s="16"/>
      <c r="C1" s="16"/>
      <c r="D1" s="16"/>
      <c r="E1" s="16"/>
      <c r="F1" s="16"/>
    </row>
    <row r="2" spans="1:14">
      <c r="A2" s="16"/>
      <c r="B2" s="16"/>
      <c r="C2" s="16"/>
      <c r="D2" s="16"/>
      <c r="E2" s="16"/>
      <c r="F2" s="16"/>
    </row>
    <row r="5" spans="1:14">
      <c r="A5" s="20" t="s">
        <v>16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10" spans="1:14">
      <c r="D10" s="1" t="s">
        <v>84</v>
      </c>
      <c r="E10" s="1">
        <v>1</v>
      </c>
    </row>
    <row r="11" spans="1:14">
      <c r="D11" s="1" t="s">
        <v>18</v>
      </c>
      <c r="E11" s="1">
        <v>0</v>
      </c>
    </row>
    <row r="12" spans="1:14">
      <c r="D12" s="1"/>
      <c r="E12" s="1"/>
    </row>
    <row r="13" spans="1:14">
      <c r="D13" s="1" t="s">
        <v>19</v>
      </c>
      <c r="E13" s="1">
        <f>1-POISSON(0,1,FALSE)</f>
        <v>0.63212055882855089</v>
      </c>
    </row>
  </sheetData>
  <mergeCells count="2">
    <mergeCell ref="A1:F2"/>
    <mergeCell ref="A5:N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selection activeCell="C9" sqref="C9:D13"/>
    </sheetView>
  </sheetViews>
  <sheetFormatPr defaultRowHeight="15"/>
  <cols>
    <col min="3" max="3" width="16.140625" customWidth="1"/>
    <col min="8" max="8" width="16.85546875" customWidth="1"/>
  </cols>
  <sheetData>
    <row r="1" spans="1:12">
      <c r="A1" s="16" t="s">
        <v>20</v>
      </c>
      <c r="B1" s="16"/>
      <c r="C1" s="16"/>
      <c r="D1" s="16"/>
      <c r="E1" s="16"/>
    </row>
    <row r="2" spans="1:12">
      <c r="A2" s="16"/>
      <c r="B2" s="16"/>
      <c r="C2" s="16"/>
      <c r="D2" s="16"/>
      <c r="E2" s="16"/>
    </row>
    <row r="4" spans="1:12">
      <c r="A4" s="20" t="s">
        <v>21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1:12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9" spans="1:12">
      <c r="C9" s="1" t="s">
        <v>22</v>
      </c>
      <c r="D9" s="1">
        <v>170</v>
      </c>
    </row>
    <row r="10" spans="1:12">
      <c r="C10" s="1" t="s">
        <v>23</v>
      </c>
      <c r="D10" s="1">
        <v>180</v>
      </c>
    </row>
    <row r="11" spans="1:12">
      <c r="C11" s="1" t="s">
        <v>24</v>
      </c>
      <c r="D11" s="1">
        <v>175</v>
      </c>
    </row>
    <row r="12" spans="1:12">
      <c r="C12" s="1" t="s">
        <v>25</v>
      </c>
      <c r="D12" s="1">
        <v>7</v>
      </c>
    </row>
    <row r="13" spans="1:12">
      <c r="C13" s="1" t="s">
        <v>26</v>
      </c>
      <c r="D13" s="1">
        <f>NORMDIST(180,175,7,TRUE)-NORMDIST(170,175,7,TRUE)</f>
        <v>0.52494947594604691</v>
      </c>
    </row>
  </sheetData>
  <mergeCells count="2">
    <mergeCell ref="A1:E2"/>
    <mergeCell ref="A4:L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4"/>
  <sheetViews>
    <sheetView topLeftCell="E1" workbookViewId="0">
      <selection activeCell="N5" sqref="N5"/>
    </sheetView>
  </sheetViews>
  <sheetFormatPr defaultRowHeight="15"/>
  <cols>
    <col min="2" max="2" width="15.140625" customWidth="1"/>
    <col min="3" max="3" width="17.42578125" customWidth="1"/>
    <col min="4" max="4" width="10.28515625" customWidth="1"/>
    <col min="5" max="5" width="11" customWidth="1"/>
    <col min="6" max="6" width="14.42578125" customWidth="1"/>
    <col min="8" max="8" width="16.140625" customWidth="1"/>
  </cols>
  <sheetData>
    <row r="1" spans="1:12">
      <c r="E1" s="23" t="s">
        <v>49</v>
      </c>
      <c r="F1" s="16"/>
      <c r="G1" s="16"/>
      <c r="H1" s="16"/>
      <c r="I1" s="16"/>
      <c r="J1" s="16"/>
      <c r="K1" s="16"/>
      <c r="L1" s="16"/>
    </row>
    <row r="2" spans="1:12">
      <c r="E2" s="16"/>
      <c r="F2" s="16"/>
      <c r="G2" s="16"/>
      <c r="H2" s="16"/>
      <c r="I2" s="16"/>
      <c r="J2" s="16"/>
      <c r="K2" s="16"/>
      <c r="L2" s="16"/>
    </row>
    <row r="5" spans="1:12">
      <c r="B5" t="s">
        <v>27</v>
      </c>
      <c r="C5" t="s">
        <v>28</v>
      </c>
      <c r="D5" t="s">
        <v>29</v>
      </c>
      <c r="E5" s="8" t="s">
        <v>30</v>
      </c>
      <c r="F5" s="8" t="s">
        <v>31</v>
      </c>
    </row>
    <row r="6" spans="1:12">
      <c r="B6">
        <v>10</v>
      </c>
      <c r="C6">
        <v>99</v>
      </c>
      <c r="D6">
        <f>(B6-B14)</f>
        <v>1.25</v>
      </c>
      <c r="E6" s="8">
        <f>C6-C14</f>
        <v>37.75</v>
      </c>
      <c r="F6" s="8">
        <f>D6*E6</f>
        <v>47.1875</v>
      </c>
    </row>
    <row r="7" spans="1:12">
      <c r="B7">
        <v>13</v>
      </c>
      <c r="C7">
        <v>87</v>
      </c>
      <c r="D7">
        <f>(B7-B14)</f>
        <v>4.25</v>
      </c>
      <c r="E7" s="8">
        <f>C7-C14</f>
        <v>25.75</v>
      </c>
      <c r="F7" s="8">
        <f t="shared" ref="F7:F13" si="0">D7*E7</f>
        <v>109.4375</v>
      </c>
    </row>
    <row r="8" spans="1:12">
      <c r="B8">
        <v>15</v>
      </c>
      <c r="C8">
        <v>51</v>
      </c>
      <c r="D8">
        <f>(B8-B14)</f>
        <v>6.25</v>
      </c>
      <c r="E8" s="8">
        <f>C8-C14</f>
        <v>-10.25</v>
      </c>
      <c r="F8" s="8">
        <f t="shared" si="0"/>
        <v>-64.0625</v>
      </c>
      <c r="H8" s="6" t="s">
        <v>34</v>
      </c>
      <c r="I8" s="6">
        <f>COVAR(B6:B13, C6:C13)</f>
        <v>35.3125</v>
      </c>
    </row>
    <row r="9" spans="1:12">
      <c r="B9">
        <v>8</v>
      </c>
      <c r="C9">
        <v>62</v>
      </c>
      <c r="D9">
        <f>(B9-B14)</f>
        <v>-0.75</v>
      </c>
      <c r="E9" s="8">
        <f>C9-C14</f>
        <v>0.75</v>
      </c>
      <c r="F9" s="8">
        <f t="shared" si="0"/>
        <v>-0.5625</v>
      </c>
    </row>
    <row r="10" spans="1:12">
      <c r="B10">
        <v>7</v>
      </c>
      <c r="C10">
        <v>70</v>
      </c>
      <c r="D10">
        <f>(B10-B14)</f>
        <v>-1.75</v>
      </c>
      <c r="E10" s="8">
        <f>C10-C14</f>
        <v>8.75</v>
      </c>
      <c r="F10" s="8">
        <f t="shared" si="0"/>
        <v>-15.3125</v>
      </c>
    </row>
    <row r="11" spans="1:12">
      <c r="B11">
        <v>5</v>
      </c>
      <c r="C11">
        <v>46</v>
      </c>
      <c r="D11">
        <f>(B11-B14)</f>
        <v>-3.75</v>
      </c>
      <c r="E11" s="8">
        <f>C11-C14</f>
        <v>-15.25</v>
      </c>
      <c r="F11" s="8">
        <f t="shared" si="0"/>
        <v>57.1875</v>
      </c>
    </row>
    <row r="12" spans="1:12">
      <c r="B12">
        <v>4</v>
      </c>
      <c r="C12">
        <v>33</v>
      </c>
      <c r="D12">
        <f>(B12-B14)</f>
        <v>-4.75</v>
      </c>
      <c r="E12" s="8">
        <f>C12-C14</f>
        <v>-28.25</v>
      </c>
      <c r="F12" s="8">
        <f t="shared" si="0"/>
        <v>134.1875</v>
      </c>
    </row>
    <row r="13" spans="1:12">
      <c r="B13">
        <v>8</v>
      </c>
      <c r="C13">
        <v>42</v>
      </c>
      <c r="D13">
        <f>(B13-B14)</f>
        <v>-0.75</v>
      </c>
      <c r="E13" s="8">
        <f>C13-C14</f>
        <v>-19.25</v>
      </c>
      <c r="F13" s="8">
        <f t="shared" si="0"/>
        <v>14.4375</v>
      </c>
    </row>
    <row r="14" spans="1:12">
      <c r="A14" t="s">
        <v>32</v>
      </c>
      <c r="B14">
        <f>AVERAGE(B6:B13)</f>
        <v>8.75</v>
      </c>
      <c r="C14">
        <f>AVERAGE(C6:C13)</f>
        <v>61.25</v>
      </c>
      <c r="E14" s="1" t="s">
        <v>33</v>
      </c>
      <c r="F14" s="1">
        <f>SUM(F6:F13)</f>
        <v>282.5</v>
      </c>
    </row>
  </sheetData>
  <mergeCells count="1">
    <mergeCell ref="E1:L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20"/>
  <sheetViews>
    <sheetView topLeftCell="F1" workbookViewId="0">
      <selection activeCell="J24" sqref="J24"/>
    </sheetView>
  </sheetViews>
  <sheetFormatPr defaultRowHeight="15"/>
  <cols>
    <col min="5" max="5" width="16" customWidth="1"/>
    <col min="6" max="6" width="10.7109375" customWidth="1"/>
    <col min="7" max="7" width="14.5703125" customWidth="1"/>
    <col min="8" max="8" width="15.140625" customWidth="1"/>
    <col min="10" max="10" width="19.5703125" customWidth="1"/>
  </cols>
  <sheetData>
    <row r="1" spans="2:11">
      <c r="F1" s="24" t="s">
        <v>48</v>
      </c>
      <c r="G1" s="24"/>
      <c r="H1" s="24"/>
      <c r="I1" s="24"/>
      <c r="J1" s="24"/>
      <c r="K1" s="24"/>
    </row>
    <row r="2" spans="2:11">
      <c r="F2" s="24"/>
      <c r="G2" s="24"/>
      <c r="H2" s="24"/>
      <c r="I2" s="24"/>
      <c r="J2" s="24"/>
      <c r="K2" s="24"/>
    </row>
    <row r="5" spans="2:11">
      <c r="B5" t="s">
        <v>18</v>
      </c>
      <c r="C5" t="s">
        <v>35</v>
      </c>
      <c r="D5" t="s">
        <v>36</v>
      </c>
      <c r="E5" t="s">
        <v>37</v>
      </c>
      <c r="F5" s="9" t="s">
        <v>38</v>
      </c>
      <c r="G5" s="9" t="s">
        <v>39</v>
      </c>
      <c r="H5" s="9" t="s">
        <v>40</v>
      </c>
    </row>
    <row r="6" spans="2:11">
      <c r="B6">
        <v>92</v>
      </c>
      <c r="C6">
        <v>7</v>
      </c>
      <c r="D6">
        <f>B6-B20</f>
        <v>56</v>
      </c>
      <c r="E6">
        <f>C6-C20</f>
        <v>1.5714285714285712</v>
      </c>
      <c r="F6" s="8">
        <f>D6^2</f>
        <v>3136</v>
      </c>
      <c r="G6" s="8">
        <f>E6^2</f>
        <v>2.4693877551020402</v>
      </c>
      <c r="H6" s="8">
        <f>D6*E6</f>
        <v>87.999999999999986</v>
      </c>
    </row>
    <row r="7" spans="2:11">
      <c r="B7">
        <v>16</v>
      </c>
      <c r="C7">
        <v>2</v>
      </c>
      <c r="D7">
        <f>B7-B20</f>
        <v>-20</v>
      </c>
      <c r="E7">
        <f>C7-C20</f>
        <v>-3.4285714285714288</v>
      </c>
      <c r="F7" s="8">
        <f t="shared" ref="F7:F19" si="0">D7^2</f>
        <v>400</v>
      </c>
      <c r="G7" s="8">
        <f t="shared" ref="G7:G19" si="1">E7^2</f>
        <v>11.755102040816329</v>
      </c>
      <c r="H7" s="8">
        <f t="shared" ref="H7:H19" si="2">D7*E7</f>
        <v>68.571428571428584</v>
      </c>
    </row>
    <row r="8" spans="2:11">
      <c r="B8">
        <v>19</v>
      </c>
      <c r="C8">
        <v>1</v>
      </c>
      <c r="D8">
        <f>B8-B20</f>
        <v>-17</v>
      </c>
      <c r="E8">
        <f>C8-C20</f>
        <v>-4.4285714285714288</v>
      </c>
      <c r="F8" s="8">
        <f t="shared" si="0"/>
        <v>289</v>
      </c>
      <c r="G8" s="8">
        <f t="shared" si="1"/>
        <v>19.612244897959187</v>
      </c>
      <c r="H8" s="8">
        <f t="shared" si="2"/>
        <v>75.285714285714292</v>
      </c>
    </row>
    <row r="9" spans="2:11">
      <c r="B9">
        <v>62</v>
      </c>
      <c r="C9">
        <v>8</v>
      </c>
      <c r="D9">
        <f>B9-B20</f>
        <v>26</v>
      </c>
      <c r="E9">
        <f>C9-C20</f>
        <v>2.5714285714285712</v>
      </c>
      <c r="F9" s="8">
        <f t="shared" si="0"/>
        <v>676</v>
      </c>
      <c r="G9" s="8">
        <f t="shared" si="1"/>
        <v>6.6122448979591821</v>
      </c>
      <c r="H9" s="8">
        <f t="shared" si="2"/>
        <v>66.857142857142847</v>
      </c>
    </row>
    <row r="10" spans="2:11">
      <c r="B10">
        <v>83</v>
      </c>
      <c r="C10">
        <v>4</v>
      </c>
      <c r="D10">
        <f>B10-B20</f>
        <v>47</v>
      </c>
      <c r="E10">
        <f>C10-C20</f>
        <v>-1.4285714285714288</v>
      </c>
      <c r="F10" s="8">
        <f t="shared" si="0"/>
        <v>2209</v>
      </c>
      <c r="G10" s="8">
        <f t="shared" si="1"/>
        <v>2.0408163265306132</v>
      </c>
      <c r="H10" s="8">
        <f t="shared" si="2"/>
        <v>-67.142857142857153</v>
      </c>
    </row>
    <row r="11" spans="2:11">
      <c r="B11">
        <v>47</v>
      </c>
      <c r="C11">
        <v>2</v>
      </c>
      <c r="D11">
        <f>B11-B20</f>
        <v>11</v>
      </c>
      <c r="E11">
        <f>C11-C20</f>
        <v>-3.4285714285714288</v>
      </c>
      <c r="F11" s="8">
        <f t="shared" si="0"/>
        <v>121</v>
      </c>
      <c r="G11" s="8">
        <f t="shared" si="1"/>
        <v>11.755102040816329</v>
      </c>
      <c r="H11" s="8">
        <f t="shared" si="2"/>
        <v>-37.714285714285715</v>
      </c>
      <c r="J11" s="7" t="s">
        <v>41</v>
      </c>
      <c r="K11" s="7">
        <f>CORREL(B6:B19, C6:C19)</f>
        <v>-7.6818769550352703E-2</v>
      </c>
    </row>
    <row r="12" spans="2:11">
      <c r="B12">
        <v>15</v>
      </c>
      <c r="C12">
        <v>7</v>
      </c>
      <c r="D12">
        <f>B12-B20</f>
        <v>-21</v>
      </c>
      <c r="E12">
        <f>C12-C20</f>
        <v>1.5714285714285712</v>
      </c>
      <c r="F12" s="8">
        <f t="shared" si="0"/>
        <v>441</v>
      </c>
      <c r="G12" s="8">
        <f t="shared" si="1"/>
        <v>2.4693877551020402</v>
      </c>
      <c r="H12" s="8">
        <f t="shared" si="2"/>
        <v>-32.999999999999993</v>
      </c>
    </row>
    <row r="13" spans="2:11">
      <c r="B13">
        <v>36</v>
      </c>
      <c r="C13">
        <v>8</v>
      </c>
      <c r="D13">
        <f>B13-B20</f>
        <v>0</v>
      </c>
      <c r="E13">
        <f>C13-C20</f>
        <v>2.5714285714285712</v>
      </c>
      <c r="F13" s="8">
        <f t="shared" si="0"/>
        <v>0</v>
      </c>
      <c r="G13" s="8">
        <f t="shared" si="1"/>
        <v>6.6122448979591821</v>
      </c>
      <c r="H13" s="8">
        <f t="shared" si="2"/>
        <v>0</v>
      </c>
    </row>
    <row r="14" spans="2:11">
      <c r="B14">
        <v>26</v>
      </c>
      <c r="C14">
        <v>4</v>
      </c>
      <c r="D14">
        <f>B14-B20</f>
        <v>-10</v>
      </c>
      <c r="E14">
        <f>C14-C20</f>
        <v>-1.4285714285714288</v>
      </c>
      <c r="F14" s="8">
        <f t="shared" si="0"/>
        <v>100</v>
      </c>
      <c r="G14" s="8">
        <f t="shared" si="1"/>
        <v>2.0408163265306132</v>
      </c>
      <c r="H14" s="8">
        <f t="shared" si="2"/>
        <v>14.285714285714288</v>
      </c>
    </row>
    <row r="15" spans="2:11">
      <c r="B15">
        <v>40</v>
      </c>
      <c r="C15">
        <v>7</v>
      </c>
      <c r="D15">
        <f>B15-B20</f>
        <v>4</v>
      </c>
      <c r="E15">
        <f>C15-C20</f>
        <v>1.5714285714285712</v>
      </c>
      <c r="F15" s="8">
        <f t="shared" si="0"/>
        <v>16</v>
      </c>
      <c r="G15" s="8">
        <f t="shared" si="1"/>
        <v>2.4693877551020402</v>
      </c>
      <c r="H15" s="8">
        <f t="shared" si="2"/>
        <v>6.2857142857142847</v>
      </c>
    </row>
    <row r="16" spans="2:11">
      <c r="B16">
        <v>0</v>
      </c>
      <c r="C16">
        <v>10</v>
      </c>
      <c r="D16">
        <f>B16-B20</f>
        <v>-36</v>
      </c>
      <c r="E16">
        <f>C16-C20</f>
        <v>4.5714285714285712</v>
      </c>
      <c r="F16" s="8">
        <f t="shared" si="0"/>
        <v>1296</v>
      </c>
      <c r="G16" s="8">
        <f t="shared" si="1"/>
        <v>20.897959183673468</v>
      </c>
      <c r="H16" s="8">
        <f t="shared" si="2"/>
        <v>-164.57142857142856</v>
      </c>
    </row>
    <row r="17" spans="1:8">
      <c r="B17">
        <v>25</v>
      </c>
      <c r="C17">
        <v>1</v>
      </c>
      <c r="D17">
        <f>B17-B20</f>
        <v>-11</v>
      </c>
      <c r="E17">
        <f>C17-C20</f>
        <v>-4.4285714285714288</v>
      </c>
      <c r="F17" s="8">
        <f t="shared" si="0"/>
        <v>121</v>
      </c>
      <c r="G17" s="8">
        <f t="shared" si="1"/>
        <v>19.612244897959187</v>
      </c>
      <c r="H17" s="8">
        <f t="shared" si="2"/>
        <v>48.714285714285715</v>
      </c>
    </row>
    <row r="18" spans="1:8">
      <c r="B18">
        <v>40</v>
      </c>
      <c r="C18">
        <v>5</v>
      </c>
      <c r="D18">
        <f>B18-B20</f>
        <v>4</v>
      </c>
      <c r="E18">
        <f>C18-C20</f>
        <v>-0.42857142857142883</v>
      </c>
      <c r="F18" s="8">
        <f t="shared" si="0"/>
        <v>16</v>
      </c>
      <c r="G18" s="8">
        <f t="shared" si="1"/>
        <v>0.18367346938775531</v>
      </c>
      <c r="H18" s="8">
        <f t="shared" si="2"/>
        <v>-1.7142857142857153</v>
      </c>
    </row>
    <row r="19" spans="1:8">
      <c r="B19">
        <v>3</v>
      </c>
      <c r="C19">
        <v>10</v>
      </c>
      <c r="D19">
        <f>B19-B20</f>
        <v>-33</v>
      </c>
      <c r="E19">
        <f>C19-C20</f>
        <v>4.5714285714285712</v>
      </c>
      <c r="F19" s="8">
        <f t="shared" si="0"/>
        <v>1089</v>
      </c>
      <c r="G19" s="8">
        <f t="shared" si="1"/>
        <v>20.897959183673468</v>
      </c>
      <c r="H19" s="8">
        <f t="shared" si="2"/>
        <v>-150.85714285714286</v>
      </c>
    </row>
    <row r="20" spans="1:8">
      <c r="A20" t="s">
        <v>32</v>
      </c>
      <c r="B20">
        <f>AVERAGE(B6:B19)</f>
        <v>36</v>
      </c>
      <c r="C20">
        <f>AVERAGE(C6:C19)</f>
        <v>5.4285714285714288</v>
      </c>
      <c r="D20">
        <f>AVERAGE(D6:D19)</f>
        <v>0</v>
      </c>
      <c r="F20" s="8">
        <f>SUM(F6:F19)</f>
        <v>9910</v>
      </c>
      <c r="G20" s="8">
        <f>SUM(G6:G19)</f>
        <v>129.42857142857142</v>
      </c>
      <c r="H20" s="8">
        <f>SUM(H6:H19)</f>
        <v>-87.000000000000085</v>
      </c>
    </row>
  </sheetData>
  <mergeCells count="1">
    <mergeCell ref="F1:K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selection activeCell="A5" sqref="A5:E13"/>
    </sheetView>
  </sheetViews>
  <sheetFormatPr defaultRowHeight="15"/>
  <cols>
    <col min="1" max="1" width="14.7109375" customWidth="1"/>
    <col min="2" max="2" width="19.140625" customWidth="1"/>
    <col min="4" max="4" width="12.7109375" customWidth="1"/>
  </cols>
  <sheetData>
    <row r="1" spans="1:12">
      <c r="A1" s="25" t="s">
        <v>50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5" spans="1:12">
      <c r="A5" s="1" t="s">
        <v>42</v>
      </c>
      <c r="B5" s="1" t="s">
        <v>28</v>
      </c>
      <c r="C5" s="1"/>
      <c r="D5" s="1"/>
      <c r="E5" s="1"/>
    </row>
    <row r="6" spans="1:12">
      <c r="A6" s="1">
        <v>10</v>
      </c>
      <c r="B6" s="1">
        <v>99</v>
      </c>
      <c r="C6" s="1"/>
      <c r="D6" s="1"/>
      <c r="E6" s="1"/>
    </row>
    <row r="7" spans="1:12">
      <c r="A7" s="1">
        <v>13</v>
      </c>
      <c r="B7" s="1">
        <v>87</v>
      </c>
      <c r="C7" s="1"/>
      <c r="D7" s="1"/>
      <c r="E7" s="1"/>
    </row>
    <row r="8" spans="1:12">
      <c r="A8" s="1">
        <v>15</v>
      </c>
      <c r="B8" s="1">
        <v>51</v>
      </c>
      <c r="C8" s="1"/>
      <c r="D8" s="1" t="s">
        <v>43</v>
      </c>
      <c r="E8" s="1">
        <f>CORREL(A6:A13, B6:B13)</f>
        <v>0.46739616590350413</v>
      </c>
    </row>
    <row r="9" spans="1:12">
      <c r="A9" s="1">
        <v>8</v>
      </c>
      <c r="B9" s="1">
        <v>62</v>
      </c>
      <c r="C9" s="1"/>
      <c r="D9" s="1"/>
      <c r="E9" s="1"/>
    </row>
    <row r="10" spans="1:12">
      <c r="A10" s="1">
        <v>7</v>
      </c>
      <c r="B10" s="1">
        <v>70</v>
      </c>
      <c r="C10" s="1"/>
      <c r="D10" s="1"/>
      <c r="E10" s="1"/>
    </row>
    <row r="11" spans="1:12">
      <c r="A11" s="1">
        <v>5</v>
      </c>
      <c r="B11" s="1">
        <v>46</v>
      </c>
      <c r="C11" s="1"/>
      <c r="D11" s="1"/>
      <c r="E11" s="1"/>
    </row>
    <row r="12" spans="1:12">
      <c r="A12" s="1">
        <v>4</v>
      </c>
      <c r="B12" s="1">
        <v>33</v>
      </c>
      <c r="C12" s="1"/>
      <c r="D12" s="1"/>
      <c r="E12" s="1"/>
    </row>
    <row r="13" spans="1:12">
      <c r="A13" s="1">
        <v>8</v>
      </c>
      <c r="B13" s="1">
        <v>42</v>
      </c>
      <c r="C13" s="1"/>
      <c r="D13" s="1"/>
      <c r="E13" s="1"/>
    </row>
  </sheetData>
  <mergeCells count="1">
    <mergeCell ref="A1:L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X39"/>
  <sheetViews>
    <sheetView workbookViewId="0">
      <selection sqref="A1:X1"/>
    </sheetView>
  </sheetViews>
  <sheetFormatPr defaultRowHeight="15"/>
  <cols>
    <col min="1" max="1" width="17.85546875" bestFit="1" customWidth="1"/>
    <col min="2" max="2" width="14" customWidth="1"/>
    <col min="3" max="4" width="12.5703125" customWidth="1"/>
    <col min="5" max="5" width="10" customWidth="1"/>
    <col min="6" max="6" width="15.7109375" customWidth="1"/>
    <col min="12" max="12" width="16.7109375" customWidth="1"/>
    <col min="13" max="13" width="11.7109375" customWidth="1"/>
    <col min="14" max="15" width="10.42578125" customWidth="1"/>
  </cols>
  <sheetData>
    <row r="1" spans="1:24" ht="22.5" customHeight="1">
      <c r="A1" s="26" t="s">
        <v>103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4">
      <c r="A2" s="26" t="s">
        <v>88</v>
      </c>
      <c r="B2" s="26"/>
      <c r="C2" s="26"/>
      <c r="D2" s="4"/>
      <c r="F2" s="26" t="s">
        <v>87</v>
      </c>
      <c r="G2" s="26"/>
      <c r="H2" s="26"/>
      <c r="I2" s="26"/>
      <c r="K2" s="26" t="s">
        <v>89</v>
      </c>
      <c r="L2" s="16"/>
      <c r="M2" s="16"/>
      <c r="N2" s="16"/>
      <c r="O2" s="16"/>
    </row>
    <row r="3" spans="1:24">
      <c r="A3" s="26"/>
      <c r="B3" s="26"/>
      <c r="C3" s="26"/>
      <c r="D3" s="4"/>
      <c r="F3" s="26"/>
      <c r="G3" s="26"/>
      <c r="H3" s="26"/>
      <c r="I3" s="26"/>
      <c r="K3" s="16"/>
      <c r="L3" s="16"/>
      <c r="M3" s="16"/>
      <c r="N3" s="16"/>
      <c r="O3" s="16"/>
    </row>
    <row r="4" spans="1:24">
      <c r="A4" s="13" t="s">
        <v>92</v>
      </c>
      <c r="B4" s="13">
        <v>10</v>
      </c>
    </row>
    <row r="5" spans="1:24">
      <c r="A5" s="13" t="s">
        <v>46</v>
      </c>
      <c r="B5" s="13">
        <v>4</v>
      </c>
      <c r="F5" s="14" t="s">
        <v>85</v>
      </c>
      <c r="G5" s="14">
        <v>4</v>
      </c>
      <c r="L5" s="15" t="s">
        <v>85</v>
      </c>
      <c r="M5" s="15">
        <v>4</v>
      </c>
    </row>
    <row r="6" spans="1:24">
      <c r="A6" s="13" t="s">
        <v>47</v>
      </c>
      <c r="B6" s="13">
        <v>30</v>
      </c>
      <c r="F6" s="14" t="s">
        <v>86</v>
      </c>
      <c r="G6" s="14">
        <v>30</v>
      </c>
      <c r="L6" s="15" t="s">
        <v>86</v>
      </c>
      <c r="M6" s="15">
        <v>30</v>
      </c>
    </row>
    <row r="7" spans="1:24">
      <c r="A7" s="13" t="s">
        <v>10</v>
      </c>
      <c r="B7" s="13">
        <v>0.6</v>
      </c>
      <c r="F7" s="14" t="s">
        <v>17</v>
      </c>
      <c r="G7" s="14">
        <v>0.1</v>
      </c>
      <c r="L7" s="15" t="s">
        <v>10</v>
      </c>
      <c r="M7" s="15">
        <v>0.6</v>
      </c>
    </row>
    <row r="9" spans="1:24">
      <c r="A9" s="1" t="s">
        <v>44</v>
      </c>
      <c r="B9" s="1" t="s">
        <v>45</v>
      </c>
      <c r="C9" s="1" t="s">
        <v>90</v>
      </c>
      <c r="D9" s="1" t="s">
        <v>91</v>
      </c>
      <c r="F9" s="1" t="s">
        <v>44</v>
      </c>
      <c r="G9" s="1" t="s">
        <v>45</v>
      </c>
      <c r="H9" s="1" t="s">
        <v>90</v>
      </c>
      <c r="I9" s="1" t="s">
        <v>91</v>
      </c>
      <c r="L9" s="1" t="s">
        <v>44</v>
      </c>
      <c r="M9" s="1" t="s">
        <v>45</v>
      </c>
      <c r="N9" s="1" t="s">
        <v>90</v>
      </c>
      <c r="O9" s="1" t="s">
        <v>91</v>
      </c>
    </row>
    <row r="10" spans="1:24">
      <c r="A10" s="1">
        <v>5</v>
      </c>
      <c r="B10" s="1">
        <v>5</v>
      </c>
      <c r="C10" s="1">
        <v>5</v>
      </c>
      <c r="D10" s="1">
        <v>3</v>
      </c>
      <c r="F10" s="1">
        <v>0</v>
      </c>
      <c r="G10" s="1">
        <v>0</v>
      </c>
      <c r="H10" s="1">
        <v>1</v>
      </c>
      <c r="I10" s="1">
        <v>0</v>
      </c>
      <c r="L10" s="1">
        <v>1</v>
      </c>
      <c r="M10" s="1">
        <v>1</v>
      </c>
      <c r="N10" s="1">
        <v>0</v>
      </c>
      <c r="O10" s="1">
        <v>0</v>
      </c>
    </row>
    <row r="11" spans="1:24">
      <c r="A11" s="1">
        <v>7</v>
      </c>
      <c r="B11" s="1">
        <v>8</v>
      </c>
      <c r="C11" s="1">
        <v>6</v>
      </c>
      <c r="D11" s="1">
        <v>5</v>
      </c>
      <c r="F11" s="1">
        <v>0</v>
      </c>
      <c r="G11" s="1">
        <v>0</v>
      </c>
      <c r="H11" s="1">
        <v>0</v>
      </c>
      <c r="I11" s="1">
        <v>0</v>
      </c>
      <c r="L11" s="1">
        <v>0</v>
      </c>
      <c r="M11" s="1">
        <v>1</v>
      </c>
      <c r="N11" s="1">
        <v>1</v>
      </c>
      <c r="O11" s="1">
        <v>1</v>
      </c>
    </row>
    <row r="12" spans="1:24">
      <c r="A12" s="1">
        <v>4</v>
      </c>
      <c r="B12" s="1">
        <v>6</v>
      </c>
      <c r="C12" s="1">
        <v>4</v>
      </c>
      <c r="D12" s="1">
        <v>4</v>
      </c>
      <c r="F12" s="1">
        <v>0</v>
      </c>
      <c r="G12" s="1">
        <v>1</v>
      </c>
      <c r="H12" s="1">
        <v>0</v>
      </c>
      <c r="I12" s="1">
        <v>0</v>
      </c>
      <c r="L12" s="1">
        <v>1</v>
      </c>
      <c r="M12" s="1">
        <v>0</v>
      </c>
      <c r="N12" s="1">
        <v>1</v>
      </c>
      <c r="O12" s="1">
        <v>0</v>
      </c>
    </row>
    <row r="13" spans="1:24">
      <c r="A13" s="1">
        <v>8</v>
      </c>
      <c r="B13" s="1">
        <v>6</v>
      </c>
      <c r="C13" s="1">
        <v>5</v>
      </c>
      <c r="D13" s="1">
        <v>7</v>
      </c>
      <c r="F13" s="1">
        <v>0</v>
      </c>
      <c r="G13" s="1">
        <v>0</v>
      </c>
      <c r="H13" s="1">
        <v>0</v>
      </c>
      <c r="I13" s="1">
        <v>0</v>
      </c>
      <c r="L13" s="1">
        <v>1</v>
      </c>
      <c r="M13" s="1">
        <v>0</v>
      </c>
      <c r="N13" s="1">
        <v>0</v>
      </c>
      <c r="O13" s="1">
        <v>1</v>
      </c>
    </row>
    <row r="14" spans="1:24">
      <c r="A14" s="1">
        <v>7</v>
      </c>
      <c r="B14" s="1">
        <v>8</v>
      </c>
      <c r="C14" s="1">
        <v>7</v>
      </c>
      <c r="D14" s="1">
        <v>5</v>
      </c>
      <c r="F14" s="1">
        <v>0</v>
      </c>
      <c r="G14" s="1">
        <v>0</v>
      </c>
      <c r="H14" s="1">
        <v>0</v>
      </c>
      <c r="I14" s="1">
        <v>0</v>
      </c>
      <c r="L14" s="1">
        <v>1</v>
      </c>
      <c r="M14" s="1">
        <v>1</v>
      </c>
      <c r="N14" s="1">
        <v>0</v>
      </c>
      <c r="O14" s="1">
        <v>1</v>
      </c>
    </row>
    <row r="15" spans="1:24">
      <c r="A15" s="1">
        <v>5</v>
      </c>
      <c r="B15" s="1">
        <v>3</v>
      </c>
      <c r="C15" s="1">
        <v>7</v>
      </c>
      <c r="D15" s="1">
        <v>4</v>
      </c>
      <c r="F15" s="1">
        <v>0</v>
      </c>
      <c r="G15" s="1">
        <v>0</v>
      </c>
      <c r="H15" s="1">
        <v>0</v>
      </c>
      <c r="I15" s="1">
        <v>0</v>
      </c>
      <c r="L15" s="1">
        <v>1</v>
      </c>
      <c r="M15" s="1">
        <v>0</v>
      </c>
      <c r="N15" s="1">
        <v>1</v>
      </c>
      <c r="O15" s="1">
        <v>1</v>
      </c>
    </row>
    <row r="16" spans="1:24">
      <c r="A16" s="1">
        <v>5</v>
      </c>
      <c r="B16" s="1">
        <v>6</v>
      </c>
      <c r="C16" s="1">
        <v>6</v>
      </c>
      <c r="D16" s="1">
        <v>5</v>
      </c>
      <c r="F16" s="1">
        <v>1</v>
      </c>
      <c r="G16" s="1">
        <v>1</v>
      </c>
      <c r="H16" s="1">
        <v>0</v>
      </c>
      <c r="I16" s="1">
        <v>0</v>
      </c>
      <c r="L16" s="1">
        <v>1</v>
      </c>
      <c r="M16" s="1">
        <v>0</v>
      </c>
      <c r="N16" s="1">
        <v>1</v>
      </c>
      <c r="O16" s="1">
        <v>0</v>
      </c>
    </row>
    <row r="17" spans="1:15">
      <c r="A17" s="1">
        <v>7</v>
      </c>
      <c r="B17" s="1">
        <v>8</v>
      </c>
      <c r="C17" s="1">
        <v>2</v>
      </c>
      <c r="D17" s="1">
        <v>6</v>
      </c>
      <c r="F17" s="1">
        <v>0</v>
      </c>
      <c r="G17" s="1">
        <v>0</v>
      </c>
      <c r="H17" s="1">
        <v>0</v>
      </c>
      <c r="I17" s="1">
        <v>0</v>
      </c>
      <c r="L17" s="1">
        <v>1</v>
      </c>
      <c r="M17" s="1">
        <v>0</v>
      </c>
      <c r="N17" s="1">
        <v>1</v>
      </c>
      <c r="O17" s="1">
        <v>1</v>
      </c>
    </row>
    <row r="18" spans="1:15">
      <c r="A18" s="1">
        <v>5</v>
      </c>
      <c r="B18" s="1">
        <v>6</v>
      </c>
      <c r="C18" s="1">
        <v>7</v>
      </c>
      <c r="D18" s="1">
        <v>7</v>
      </c>
      <c r="F18" s="1">
        <v>0</v>
      </c>
      <c r="G18" s="1">
        <v>0</v>
      </c>
      <c r="H18" s="1">
        <v>0</v>
      </c>
      <c r="I18" s="1">
        <v>0</v>
      </c>
      <c r="L18" s="1">
        <v>1</v>
      </c>
      <c r="M18" s="1">
        <v>1</v>
      </c>
      <c r="N18" s="1">
        <v>1</v>
      </c>
      <c r="O18" s="1">
        <v>1</v>
      </c>
    </row>
    <row r="19" spans="1:15">
      <c r="A19" s="1">
        <v>6</v>
      </c>
      <c r="B19" s="1">
        <v>4</v>
      </c>
      <c r="C19" s="1">
        <v>8</v>
      </c>
      <c r="D19" s="1">
        <v>8</v>
      </c>
      <c r="F19" s="1">
        <v>0</v>
      </c>
      <c r="G19" s="1">
        <v>1</v>
      </c>
      <c r="H19" s="1">
        <v>0</v>
      </c>
      <c r="I19" s="1">
        <v>0</v>
      </c>
      <c r="L19" s="1">
        <v>1</v>
      </c>
      <c r="M19" s="1">
        <v>1</v>
      </c>
      <c r="N19" s="1">
        <v>1</v>
      </c>
      <c r="O19" s="1">
        <v>0</v>
      </c>
    </row>
    <row r="20" spans="1:15">
      <c r="A20" s="1">
        <v>6</v>
      </c>
      <c r="B20" s="1">
        <v>7</v>
      </c>
      <c r="C20" s="1">
        <v>7</v>
      </c>
      <c r="D20" s="1">
        <v>6</v>
      </c>
      <c r="F20" s="1">
        <v>0</v>
      </c>
      <c r="G20" s="1">
        <v>0</v>
      </c>
      <c r="H20" s="1">
        <v>0</v>
      </c>
      <c r="I20" s="1">
        <v>0</v>
      </c>
      <c r="L20" s="1">
        <v>1</v>
      </c>
      <c r="M20" s="1">
        <v>0</v>
      </c>
      <c r="N20" s="1">
        <v>1</v>
      </c>
      <c r="O20" s="1">
        <v>1</v>
      </c>
    </row>
    <row r="21" spans="1:15">
      <c r="A21" s="1">
        <v>7</v>
      </c>
      <c r="B21" s="1">
        <v>6</v>
      </c>
      <c r="C21" s="1">
        <v>8</v>
      </c>
      <c r="D21" s="1">
        <v>7</v>
      </c>
      <c r="F21" s="1">
        <v>0</v>
      </c>
      <c r="G21" s="1">
        <v>0</v>
      </c>
      <c r="H21" s="1">
        <v>0</v>
      </c>
      <c r="I21" s="1">
        <v>0</v>
      </c>
      <c r="L21" s="1">
        <v>1</v>
      </c>
      <c r="M21" s="1">
        <v>0</v>
      </c>
      <c r="N21" s="1">
        <v>1</v>
      </c>
      <c r="O21" s="1">
        <v>0</v>
      </c>
    </row>
    <row r="22" spans="1:15">
      <c r="A22" s="1">
        <v>9</v>
      </c>
      <c r="B22" s="1">
        <v>6</v>
      </c>
      <c r="C22" s="1">
        <v>4</v>
      </c>
      <c r="D22" s="1">
        <v>5</v>
      </c>
      <c r="F22" s="1">
        <v>0</v>
      </c>
      <c r="G22" s="1">
        <v>0</v>
      </c>
      <c r="H22" s="1">
        <v>0</v>
      </c>
      <c r="I22" s="1">
        <v>0</v>
      </c>
      <c r="L22" s="1">
        <v>1</v>
      </c>
      <c r="M22" s="1">
        <v>1</v>
      </c>
      <c r="N22" s="1">
        <v>1</v>
      </c>
      <c r="O22" s="1">
        <v>0</v>
      </c>
    </row>
    <row r="23" spans="1:15">
      <c r="A23" s="1">
        <v>6</v>
      </c>
      <c r="B23" s="1">
        <v>5</v>
      </c>
      <c r="C23" s="1">
        <v>7</v>
      </c>
      <c r="D23" s="1">
        <v>6</v>
      </c>
      <c r="F23" s="1">
        <v>0</v>
      </c>
      <c r="G23" s="1">
        <v>0</v>
      </c>
      <c r="H23" s="1">
        <v>0</v>
      </c>
      <c r="I23" s="1">
        <v>0</v>
      </c>
      <c r="L23" s="1">
        <v>1</v>
      </c>
      <c r="M23" s="1">
        <v>0</v>
      </c>
      <c r="N23" s="1">
        <v>1</v>
      </c>
      <c r="O23" s="1">
        <v>0</v>
      </c>
    </row>
    <row r="24" spans="1:15">
      <c r="A24" s="1">
        <v>6</v>
      </c>
      <c r="B24" s="1">
        <v>5</v>
      </c>
      <c r="C24" s="1">
        <v>6</v>
      </c>
      <c r="D24" s="1">
        <v>6</v>
      </c>
      <c r="F24" s="1">
        <v>0</v>
      </c>
      <c r="G24" s="1">
        <v>0</v>
      </c>
      <c r="H24" s="1">
        <v>0</v>
      </c>
      <c r="I24" s="1">
        <v>0</v>
      </c>
      <c r="L24" s="1">
        <v>1</v>
      </c>
      <c r="M24" s="1">
        <v>0</v>
      </c>
      <c r="N24" s="1">
        <v>1</v>
      </c>
      <c r="O24" s="1">
        <v>0</v>
      </c>
    </row>
    <row r="25" spans="1:15">
      <c r="A25" s="1">
        <v>8</v>
      </c>
      <c r="B25" s="1">
        <v>9</v>
      </c>
      <c r="C25" s="1">
        <v>6</v>
      </c>
      <c r="D25" s="1">
        <v>6</v>
      </c>
      <c r="F25" s="1">
        <v>0</v>
      </c>
      <c r="G25" s="1">
        <v>0</v>
      </c>
      <c r="H25" s="1">
        <v>0</v>
      </c>
      <c r="I25" s="1">
        <v>0</v>
      </c>
      <c r="L25" s="1">
        <v>0</v>
      </c>
      <c r="M25" s="1">
        <v>1</v>
      </c>
      <c r="N25" s="1">
        <v>1</v>
      </c>
      <c r="O25" s="1">
        <v>1</v>
      </c>
    </row>
    <row r="26" spans="1:15">
      <c r="A26" s="1">
        <v>8</v>
      </c>
      <c r="B26" s="1">
        <v>5</v>
      </c>
      <c r="C26" s="1">
        <v>5</v>
      </c>
      <c r="D26" s="1">
        <v>7</v>
      </c>
      <c r="F26" s="1">
        <v>0</v>
      </c>
      <c r="G26" s="1">
        <v>0</v>
      </c>
      <c r="H26" s="1">
        <v>0</v>
      </c>
      <c r="I26" s="1">
        <v>0</v>
      </c>
      <c r="L26" s="1">
        <v>1</v>
      </c>
      <c r="M26" s="1">
        <v>1</v>
      </c>
      <c r="N26" s="1">
        <v>0</v>
      </c>
      <c r="O26" s="1">
        <v>0</v>
      </c>
    </row>
    <row r="27" spans="1:15">
      <c r="A27" s="1">
        <v>6</v>
      </c>
      <c r="B27" s="1">
        <v>5</v>
      </c>
      <c r="C27" s="1">
        <v>8</v>
      </c>
      <c r="D27" s="1">
        <v>5</v>
      </c>
      <c r="F27" s="1">
        <v>0</v>
      </c>
      <c r="G27" s="1">
        <v>0</v>
      </c>
      <c r="H27" s="1">
        <v>0</v>
      </c>
      <c r="I27" s="1">
        <v>0</v>
      </c>
      <c r="L27" s="1">
        <v>0</v>
      </c>
      <c r="M27" s="1">
        <v>1</v>
      </c>
      <c r="N27" s="1">
        <v>0</v>
      </c>
      <c r="O27" s="1">
        <v>1</v>
      </c>
    </row>
    <row r="28" spans="1:15">
      <c r="A28" s="1">
        <v>7</v>
      </c>
      <c r="B28" s="1">
        <v>7</v>
      </c>
      <c r="C28" s="1">
        <v>5</v>
      </c>
      <c r="D28" s="1">
        <v>5</v>
      </c>
      <c r="F28" s="1">
        <v>0</v>
      </c>
      <c r="G28" s="1">
        <v>0</v>
      </c>
      <c r="H28" s="1">
        <v>0</v>
      </c>
      <c r="I28" s="1">
        <v>1</v>
      </c>
      <c r="L28" s="1">
        <v>1</v>
      </c>
      <c r="M28" s="1">
        <v>1</v>
      </c>
      <c r="N28" s="1">
        <v>0</v>
      </c>
      <c r="O28" s="1">
        <v>0</v>
      </c>
    </row>
    <row r="29" spans="1:15">
      <c r="A29" s="1">
        <v>5</v>
      </c>
      <c r="B29" s="1">
        <v>6</v>
      </c>
      <c r="C29" s="1">
        <v>7</v>
      </c>
      <c r="D29" s="1">
        <v>7</v>
      </c>
      <c r="F29" s="1">
        <v>0</v>
      </c>
      <c r="G29" s="1">
        <v>0</v>
      </c>
      <c r="H29" s="1">
        <v>0</v>
      </c>
      <c r="I29" s="1">
        <v>0</v>
      </c>
      <c r="L29" s="1">
        <v>1</v>
      </c>
      <c r="M29" s="1">
        <v>1</v>
      </c>
      <c r="N29" s="1">
        <v>0</v>
      </c>
      <c r="O29" s="1">
        <v>0</v>
      </c>
    </row>
    <row r="30" spans="1:15">
      <c r="A30" s="1">
        <v>7</v>
      </c>
      <c r="B30" s="1">
        <v>5</v>
      </c>
      <c r="C30" s="1">
        <v>6</v>
      </c>
      <c r="D30" s="1">
        <v>9</v>
      </c>
      <c r="F30" s="1">
        <v>0</v>
      </c>
      <c r="G30" s="1">
        <v>0</v>
      </c>
      <c r="H30" s="1">
        <v>0</v>
      </c>
      <c r="I30" s="1">
        <v>0</v>
      </c>
      <c r="L30" s="1">
        <v>1</v>
      </c>
      <c r="M30" s="1">
        <v>1</v>
      </c>
      <c r="N30" s="1">
        <v>1</v>
      </c>
      <c r="O30" s="1">
        <v>1</v>
      </c>
    </row>
    <row r="31" spans="1:15">
      <c r="A31" s="1">
        <v>1</v>
      </c>
      <c r="B31" s="1">
        <v>5</v>
      </c>
      <c r="C31" s="1">
        <v>6</v>
      </c>
      <c r="D31" s="1">
        <v>6</v>
      </c>
      <c r="F31" s="1">
        <v>0</v>
      </c>
      <c r="G31" s="1">
        <v>0</v>
      </c>
      <c r="H31" s="1">
        <v>0</v>
      </c>
      <c r="I31" s="1">
        <v>0</v>
      </c>
      <c r="L31" s="1">
        <v>1</v>
      </c>
      <c r="M31" s="1">
        <v>1</v>
      </c>
      <c r="N31" s="1">
        <v>0</v>
      </c>
      <c r="O31" s="1">
        <v>0</v>
      </c>
    </row>
    <row r="32" spans="1:15">
      <c r="A32" s="1">
        <v>6</v>
      </c>
      <c r="B32" s="1">
        <v>6</v>
      </c>
      <c r="C32" s="1">
        <v>8</v>
      </c>
      <c r="D32" s="1">
        <v>6</v>
      </c>
      <c r="F32" s="1">
        <v>1</v>
      </c>
      <c r="G32" s="1">
        <v>0</v>
      </c>
      <c r="H32" s="1">
        <v>0</v>
      </c>
      <c r="I32" s="1">
        <v>0</v>
      </c>
      <c r="L32" s="1">
        <v>1</v>
      </c>
      <c r="M32" s="1">
        <v>1</v>
      </c>
      <c r="N32" s="1">
        <v>0</v>
      </c>
      <c r="O32" s="1">
        <v>1</v>
      </c>
    </row>
    <row r="33" spans="1:15">
      <c r="A33" s="1">
        <v>4</v>
      </c>
      <c r="B33" s="1">
        <v>4</v>
      </c>
      <c r="C33" s="1">
        <v>7</v>
      </c>
      <c r="D33" s="1">
        <v>7</v>
      </c>
      <c r="F33" s="1">
        <v>0</v>
      </c>
      <c r="G33" s="1">
        <v>0</v>
      </c>
      <c r="H33" s="1">
        <v>0</v>
      </c>
      <c r="I33" s="1">
        <v>0</v>
      </c>
      <c r="L33" s="1">
        <v>0</v>
      </c>
      <c r="M33" s="1">
        <v>1</v>
      </c>
      <c r="N33" s="1">
        <v>1</v>
      </c>
      <c r="O33" s="1">
        <v>1</v>
      </c>
    </row>
    <row r="34" spans="1:15">
      <c r="A34" s="1">
        <v>4</v>
      </c>
      <c r="B34" s="1">
        <v>7</v>
      </c>
      <c r="C34" s="1">
        <v>6</v>
      </c>
      <c r="D34" s="1">
        <v>7</v>
      </c>
      <c r="F34" s="1">
        <v>0</v>
      </c>
      <c r="G34" s="1">
        <v>0</v>
      </c>
      <c r="H34" s="1">
        <v>0</v>
      </c>
      <c r="I34" s="1">
        <v>0</v>
      </c>
      <c r="L34" s="1">
        <v>1</v>
      </c>
      <c r="M34" s="1">
        <v>0</v>
      </c>
      <c r="N34" s="1">
        <v>0</v>
      </c>
      <c r="O34" s="1">
        <v>0</v>
      </c>
    </row>
    <row r="35" spans="1:15">
      <c r="A35" s="1">
        <v>6</v>
      </c>
      <c r="B35" s="1">
        <v>5</v>
      </c>
      <c r="C35" s="1">
        <v>4</v>
      </c>
      <c r="D35" s="1">
        <v>7</v>
      </c>
      <c r="F35" s="1">
        <v>0</v>
      </c>
      <c r="G35" s="1">
        <v>0</v>
      </c>
      <c r="H35" s="1">
        <v>0</v>
      </c>
      <c r="I35" s="1">
        <v>0</v>
      </c>
      <c r="L35" s="1">
        <v>0</v>
      </c>
      <c r="M35" s="1">
        <v>1</v>
      </c>
      <c r="N35" s="1">
        <v>1</v>
      </c>
      <c r="O35" s="1">
        <v>1</v>
      </c>
    </row>
    <row r="36" spans="1:15">
      <c r="A36" s="1">
        <v>5</v>
      </c>
      <c r="B36" s="1">
        <v>4</v>
      </c>
      <c r="C36" s="1">
        <v>3</v>
      </c>
      <c r="D36" s="1">
        <v>7</v>
      </c>
      <c r="F36" s="1">
        <v>0</v>
      </c>
      <c r="G36" s="1">
        <v>0</v>
      </c>
      <c r="H36" s="1">
        <v>0</v>
      </c>
      <c r="I36" s="1">
        <v>1</v>
      </c>
      <c r="L36" s="1">
        <v>1</v>
      </c>
      <c r="M36" s="1">
        <v>1</v>
      </c>
      <c r="N36" s="1">
        <v>0</v>
      </c>
      <c r="O36" s="1">
        <v>1</v>
      </c>
    </row>
    <row r="37" spans="1:15">
      <c r="A37" s="1">
        <v>5</v>
      </c>
      <c r="B37" s="1">
        <v>6</v>
      </c>
      <c r="C37" s="1">
        <v>2</v>
      </c>
      <c r="D37" s="1">
        <v>7</v>
      </c>
      <c r="F37" s="1">
        <v>0</v>
      </c>
      <c r="G37" s="1">
        <v>0</v>
      </c>
      <c r="H37" s="1">
        <v>0</v>
      </c>
      <c r="I37" s="1">
        <v>0</v>
      </c>
      <c r="L37" s="1">
        <v>1</v>
      </c>
      <c r="M37" s="1">
        <v>0</v>
      </c>
      <c r="N37" s="1">
        <v>1</v>
      </c>
      <c r="O37" s="1">
        <v>1</v>
      </c>
    </row>
    <row r="38" spans="1:15">
      <c r="A38" s="1">
        <v>3</v>
      </c>
      <c r="B38" s="1">
        <v>4</v>
      </c>
      <c r="C38" s="1">
        <v>7</v>
      </c>
      <c r="D38" s="1">
        <v>7</v>
      </c>
      <c r="F38" s="1">
        <v>0</v>
      </c>
      <c r="G38" s="1">
        <v>0</v>
      </c>
      <c r="H38" s="1">
        <v>0</v>
      </c>
      <c r="I38" s="1">
        <v>1</v>
      </c>
      <c r="L38" s="1">
        <v>1</v>
      </c>
      <c r="M38" s="1">
        <v>0</v>
      </c>
      <c r="N38" s="1">
        <v>1</v>
      </c>
      <c r="O38" s="1">
        <v>1</v>
      </c>
    </row>
    <row r="39" spans="1:15">
      <c r="A39" s="1">
        <v>5</v>
      </c>
      <c r="B39" s="1">
        <v>5</v>
      </c>
      <c r="C39" s="1">
        <v>7</v>
      </c>
      <c r="D39" s="1">
        <v>6</v>
      </c>
      <c r="F39" s="1">
        <v>0</v>
      </c>
      <c r="G39" s="1">
        <v>0</v>
      </c>
      <c r="H39" s="1">
        <v>0</v>
      </c>
      <c r="I39" s="1">
        <v>0</v>
      </c>
      <c r="L39" s="1">
        <v>0</v>
      </c>
      <c r="M39" s="1">
        <v>0</v>
      </c>
      <c r="N39" s="1">
        <v>0</v>
      </c>
      <c r="O39" s="1">
        <v>1</v>
      </c>
    </row>
  </sheetData>
  <mergeCells count="4">
    <mergeCell ref="F2:I3"/>
    <mergeCell ref="A2:C3"/>
    <mergeCell ref="K2:O3"/>
    <mergeCell ref="A1:X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42"/>
  <sheetViews>
    <sheetView workbookViewId="0">
      <selection sqref="A1:P1"/>
    </sheetView>
  </sheetViews>
  <sheetFormatPr defaultRowHeight="15"/>
  <cols>
    <col min="1" max="1" width="17.28515625" customWidth="1"/>
    <col min="2" max="2" width="19.7109375" customWidth="1"/>
    <col min="3" max="3" width="15.28515625" customWidth="1"/>
    <col min="4" max="4" width="14.85546875" customWidth="1"/>
    <col min="9" max="10" width="20" customWidth="1"/>
    <col min="11" max="11" width="19.42578125" customWidth="1"/>
    <col min="12" max="12" width="14.85546875" customWidth="1"/>
  </cols>
  <sheetData>
    <row r="1" spans="1:16" ht="20.25" customHeight="1">
      <c r="A1" s="23" t="s">
        <v>102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3" spans="1:16">
      <c r="A3" s="26" t="s">
        <v>93</v>
      </c>
      <c r="B3" s="16"/>
      <c r="C3" s="16"/>
      <c r="D3" s="16"/>
      <c r="E3" s="16"/>
      <c r="F3" s="16"/>
      <c r="J3" s="26" t="s">
        <v>97</v>
      </c>
      <c r="K3" s="16"/>
      <c r="L3" s="16"/>
      <c r="M3" s="16"/>
      <c r="N3" s="16"/>
      <c r="O3" s="16"/>
      <c r="P3" s="16"/>
    </row>
    <row r="4" spans="1:16">
      <c r="A4" s="16"/>
      <c r="B4" s="16"/>
      <c r="C4" s="16"/>
      <c r="D4" s="16"/>
      <c r="E4" s="16"/>
      <c r="F4" s="16"/>
      <c r="J4" s="16"/>
      <c r="K4" s="16"/>
      <c r="L4" s="16"/>
      <c r="M4" s="16"/>
      <c r="N4" s="16"/>
      <c r="O4" s="16"/>
      <c r="P4" s="16"/>
    </row>
    <row r="7" spans="1:16">
      <c r="A7" s="12" t="s">
        <v>94</v>
      </c>
      <c r="B7" s="12">
        <v>4</v>
      </c>
      <c r="I7" s="11" t="s">
        <v>98</v>
      </c>
      <c r="J7" s="11">
        <v>4</v>
      </c>
    </row>
    <row r="8" spans="1:16">
      <c r="A8" s="12" t="s">
        <v>86</v>
      </c>
      <c r="B8" s="12">
        <v>30</v>
      </c>
      <c r="I8" s="11" t="s">
        <v>99</v>
      </c>
      <c r="J8" s="11">
        <v>30</v>
      </c>
    </row>
    <row r="9" spans="1:16">
      <c r="A9" s="12" t="s">
        <v>96</v>
      </c>
      <c r="B9" s="12">
        <v>10</v>
      </c>
      <c r="I9" s="11" t="s">
        <v>100</v>
      </c>
      <c r="J9" s="11" t="s">
        <v>101</v>
      </c>
    </row>
    <row r="10" spans="1:16">
      <c r="A10" s="12" t="s">
        <v>95</v>
      </c>
      <c r="B10" s="12">
        <v>5</v>
      </c>
    </row>
    <row r="12" spans="1:16">
      <c r="A12" s="1" t="s">
        <v>44</v>
      </c>
      <c r="B12" s="1" t="s">
        <v>45</v>
      </c>
      <c r="C12" s="1" t="s">
        <v>90</v>
      </c>
      <c r="D12" s="1" t="s">
        <v>91</v>
      </c>
      <c r="I12" s="1" t="s">
        <v>44</v>
      </c>
      <c r="J12" s="1" t="s">
        <v>45</v>
      </c>
      <c r="K12" s="1" t="s">
        <v>90</v>
      </c>
      <c r="L12" s="1" t="s">
        <v>91</v>
      </c>
    </row>
    <row r="13" spans="1:16">
      <c r="A13" s="1">
        <v>12.201295501436107</v>
      </c>
      <c r="B13" s="1">
        <v>5.9689148454344831</v>
      </c>
      <c r="C13" s="1">
        <v>11.734139232212328</v>
      </c>
      <c r="D13" s="1">
        <v>7.5790728967695031</v>
      </c>
      <c r="I13" s="1">
        <v>0.84813989684743796</v>
      </c>
      <c r="J13" s="1">
        <v>0.88222907193212685</v>
      </c>
      <c r="K13" s="1">
        <v>2.2339548936429945E-2</v>
      </c>
      <c r="L13" s="1">
        <v>0.88000122074037901</v>
      </c>
    </row>
    <row r="14" spans="1:16">
      <c r="A14" s="1">
        <v>11.781745595508255</v>
      </c>
      <c r="B14" s="1">
        <v>8.7838350534730125</v>
      </c>
      <c r="C14" s="1">
        <v>17.185303729784209</v>
      </c>
      <c r="D14" s="1">
        <v>7.5760601955698803</v>
      </c>
      <c r="I14" s="1">
        <v>0.95690786461989197</v>
      </c>
      <c r="J14" s="1">
        <v>0.82515945921201206</v>
      </c>
      <c r="K14" s="1">
        <v>0.27832880642109442</v>
      </c>
      <c r="L14" s="1">
        <v>0.18002868739890743</v>
      </c>
    </row>
    <row r="15" spans="1:16">
      <c r="A15" s="1">
        <v>11.314901965088211</v>
      </c>
      <c r="B15" s="1">
        <v>17.211178854049649</v>
      </c>
      <c r="C15" s="1">
        <v>5.711004885379225</v>
      </c>
      <c r="D15" s="1">
        <v>13.459757635937422</v>
      </c>
      <c r="I15" s="1">
        <v>0.88598284859767451</v>
      </c>
      <c r="J15" s="1">
        <v>0.45069734794152655</v>
      </c>
      <c r="K15" s="1">
        <v>0.46232490005188148</v>
      </c>
      <c r="L15" s="1">
        <v>0.54976042970061345</v>
      </c>
    </row>
    <row r="16" spans="1:16">
      <c r="A16" s="1">
        <v>6.4201833790866658</v>
      </c>
      <c r="B16" s="1">
        <v>21.491374607430771</v>
      </c>
      <c r="C16" s="1">
        <v>11.256387349712895</v>
      </c>
      <c r="D16" s="1">
        <v>7.3753233462048229</v>
      </c>
      <c r="I16" s="1">
        <v>0.70122379222998754</v>
      </c>
      <c r="J16" s="1">
        <v>0.16315195165868099</v>
      </c>
      <c r="K16" s="1">
        <v>5.5238502151554916E-2</v>
      </c>
      <c r="L16" s="1">
        <v>0.96475112155522325</v>
      </c>
    </row>
    <row r="17" spans="1:12">
      <c r="A17" s="1">
        <v>12.840522483893437</v>
      </c>
      <c r="B17" s="1">
        <v>3.3428853182704188</v>
      </c>
      <c r="C17" s="1">
        <v>2.8254055703291669</v>
      </c>
      <c r="D17" s="1">
        <v>7.9677227202046197</v>
      </c>
      <c r="I17" s="1">
        <v>0.72060304574724565</v>
      </c>
      <c r="J17" s="1">
        <v>0.77492599261452066</v>
      </c>
      <c r="K17" s="1">
        <v>0.82164983062227237</v>
      </c>
      <c r="L17" s="1">
        <v>2.6459547715689567E-2</v>
      </c>
    </row>
    <row r="18" spans="1:12">
      <c r="A18" s="1">
        <v>12.704030066524865</v>
      </c>
      <c r="B18" s="1">
        <v>5.1603513181908056</v>
      </c>
      <c r="C18" s="1">
        <v>10.105387698567938</v>
      </c>
      <c r="D18" s="1">
        <v>12.257485220980016</v>
      </c>
      <c r="I18" s="1">
        <v>0.95452742088076414</v>
      </c>
      <c r="J18" s="1">
        <v>0.30979338969084752</v>
      </c>
      <c r="K18" s="1">
        <v>2.4506363109225746E-2</v>
      </c>
      <c r="L18" s="1">
        <v>0.44248786889248332</v>
      </c>
    </row>
    <row r="19" spans="1:12">
      <c r="A19" s="1">
        <v>-1.897645890712738</v>
      </c>
      <c r="B19" s="1">
        <v>14.071978310093982</v>
      </c>
      <c r="C19" s="1">
        <v>13.097397893725429</v>
      </c>
      <c r="D19" s="1">
        <v>11.070105781764141</v>
      </c>
      <c r="I19" s="1">
        <v>0.29068880275887327</v>
      </c>
      <c r="J19" s="1">
        <v>0.5739921262245552</v>
      </c>
      <c r="K19" s="1">
        <v>0.33765678884243294</v>
      </c>
      <c r="L19" s="1">
        <v>0.41465498825037383</v>
      </c>
    </row>
    <row r="20" spans="1:12">
      <c r="A20" s="1">
        <v>15.797858193545835</v>
      </c>
      <c r="B20" s="1">
        <v>8.0900952323281672</v>
      </c>
      <c r="C20" s="1">
        <v>12.283354660903569</v>
      </c>
      <c r="D20" s="1">
        <v>10.717136572347954</v>
      </c>
      <c r="I20" s="1">
        <v>0.95416119876705219</v>
      </c>
      <c r="J20" s="1">
        <v>0.90075380718405718</v>
      </c>
      <c r="K20" s="1">
        <v>0.23627430036317026</v>
      </c>
      <c r="L20" s="1">
        <v>0.5918454542680136</v>
      </c>
    </row>
    <row r="21" spans="1:12">
      <c r="A21" s="1">
        <v>10.635304786555935</v>
      </c>
      <c r="B21" s="1">
        <v>10.662305410514819</v>
      </c>
      <c r="C21" s="1">
        <v>9.0115497894294094</v>
      </c>
      <c r="D21" s="1">
        <v>6.0946979626896791</v>
      </c>
      <c r="I21" s="1">
        <v>0.27387310403759879</v>
      </c>
      <c r="J21" s="1">
        <v>0.97528000732444231</v>
      </c>
      <c r="K21" s="1">
        <v>0.14767906735435041</v>
      </c>
      <c r="L21" s="1">
        <v>0.74364452040162354</v>
      </c>
    </row>
    <row r="22" spans="1:12">
      <c r="A22" s="1">
        <v>1.0013002590858378</v>
      </c>
      <c r="B22" s="1">
        <v>6.1766775413707364</v>
      </c>
      <c r="C22" s="1">
        <v>9.4925190094363643</v>
      </c>
      <c r="D22" s="1">
        <v>12.513377239665715</v>
      </c>
      <c r="I22" s="1">
        <v>0.28763695181127352</v>
      </c>
      <c r="J22" s="1">
        <v>0.14590899380474256</v>
      </c>
      <c r="K22" s="1">
        <v>0.14261299478133488</v>
      </c>
      <c r="L22" s="1">
        <v>0.81044953764458139</v>
      </c>
    </row>
    <row r="23" spans="1:12">
      <c r="A23" s="1">
        <v>12.048903979812167</v>
      </c>
      <c r="B23" s="1">
        <v>13.617481070250506</v>
      </c>
      <c r="C23" s="1">
        <v>17.150038072722964</v>
      </c>
      <c r="D23" s="1">
        <v>0.61610651551745832</v>
      </c>
      <c r="I23" s="1">
        <v>0.21552171391949218</v>
      </c>
      <c r="J23" s="1">
        <v>0.12778099917600025</v>
      </c>
      <c r="K23" s="1">
        <v>0.44923245948667867</v>
      </c>
      <c r="L23" s="1">
        <v>0.48731955931272319</v>
      </c>
    </row>
    <row r="24" spans="1:12">
      <c r="A24" s="1">
        <v>9.0664832694164943</v>
      </c>
      <c r="B24" s="1">
        <v>5.9805563776171766</v>
      </c>
      <c r="C24" s="1">
        <v>3.1446609480190091</v>
      </c>
      <c r="D24" s="1">
        <v>15.038396011514124</v>
      </c>
      <c r="I24" s="1">
        <v>0.33417767876216925</v>
      </c>
      <c r="J24" s="1">
        <v>0.50544755394146546</v>
      </c>
      <c r="K24" s="1">
        <v>0.57026886806848354</v>
      </c>
      <c r="L24" s="1">
        <v>0.99697866756187625</v>
      </c>
    </row>
    <row r="25" spans="1:12">
      <c r="A25" s="1">
        <v>12.935883003374329</v>
      </c>
      <c r="B25" s="1">
        <v>6.4792436912830453</v>
      </c>
      <c r="C25" s="1">
        <v>16.09256858297158</v>
      </c>
      <c r="D25" s="1">
        <v>14.699188593804138</v>
      </c>
      <c r="I25" s="1">
        <v>0.28269295327616201</v>
      </c>
      <c r="J25" s="1">
        <v>0.9404889065218055</v>
      </c>
      <c r="K25" s="1">
        <v>0.28516495254371776</v>
      </c>
      <c r="L25" s="1">
        <v>0.20853297524948883</v>
      </c>
    </row>
    <row r="26" spans="1:12">
      <c r="A26" s="1">
        <v>8.4250507623073645</v>
      </c>
      <c r="B26" s="1">
        <v>3.9498138701310381</v>
      </c>
      <c r="C26" s="1">
        <v>14.352898486104095</v>
      </c>
      <c r="D26" s="1">
        <v>7.5260379869723693</v>
      </c>
      <c r="I26" s="1">
        <v>0.33103427228614152</v>
      </c>
      <c r="J26" s="1">
        <v>0.49037141026032288</v>
      </c>
      <c r="K26" s="1">
        <v>0.31821649830622273</v>
      </c>
      <c r="L26" s="1">
        <v>0.75835444196905422</v>
      </c>
    </row>
    <row r="27" spans="1:12">
      <c r="A27" s="1">
        <v>11.733735643938417</v>
      </c>
      <c r="B27" s="1">
        <v>15.956599125056528</v>
      </c>
      <c r="C27" s="1">
        <v>14.387084118206985</v>
      </c>
      <c r="D27" s="1">
        <v>10.041120529203909</v>
      </c>
      <c r="I27" s="1">
        <v>0.64308603167821288</v>
      </c>
      <c r="J27" s="1">
        <v>0.94534134952848903</v>
      </c>
      <c r="K27" s="1">
        <v>0.95385601367229222</v>
      </c>
      <c r="L27" s="1">
        <v>0.32871486556596574</v>
      </c>
    </row>
    <row r="28" spans="1:12">
      <c r="A28" s="1">
        <v>2.1126800472848117</v>
      </c>
      <c r="B28" s="1">
        <v>14.7626258492528</v>
      </c>
      <c r="C28" s="1">
        <v>12.582629576863837</v>
      </c>
      <c r="D28" s="1">
        <v>10.980264758254634</v>
      </c>
      <c r="I28" s="1">
        <v>6.4790795617542044E-2</v>
      </c>
      <c r="J28" s="1">
        <v>0.58833582567827392</v>
      </c>
      <c r="K28" s="1">
        <v>0.38044373912778101</v>
      </c>
      <c r="L28" s="1">
        <v>0.7415387432477798</v>
      </c>
    </row>
    <row r="29" spans="1:12">
      <c r="A29" s="1">
        <v>15.775439149147132</v>
      </c>
      <c r="B29" s="1">
        <v>9.9003534867370035</v>
      </c>
      <c r="C29" s="1">
        <v>11.561693352414295</v>
      </c>
      <c r="D29" s="1">
        <v>6.7943608680798206</v>
      </c>
      <c r="I29" s="1">
        <v>0.46894741660817285</v>
      </c>
      <c r="J29" s="1">
        <v>0.28586687826166568</v>
      </c>
      <c r="K29" s="1">
        <v>4.4190801721243934E-2</v>
      </c>
      <c r="L29" s="1">
        <v>2.2217474898525956E-2</v>
      </c>
    </row>
    <row r="30" spans="1:12">
      <c r="A30" s="1">
        <v>15.360902832762804</v>
      </c>
      <c r="B30" s="1">
        <v>6.2571450851100963</v>
      </c>
      <c r="C30" s="1">
        <v>1.5953594609163702</v>
      </c>
      <c r="D30" s="1">
        <v>3.0161038719234057</v>
      </c>
      <c r="I30" s="1">
        <v>0.18799401837214272</v>
      </c>
      <c r="J30" s="1">
        <v>0.31452375865962706</v>
      </c>
      <c r="K30" s="1">
        <v>0.79354228339487898</v>
      </c>
      <c r="L30" s="1">
        <v>9.0792565691091648E-2</v>
      </c>
    </row>
    <row r="31" spans="1:12">
      <c r="A31" s="1">
        <v>5.52169356320519</v>
      </c>
      <c r="B31" s="1">
        <v>12.432545898045646</v>
      </c>
      <c r="C31" s="1">
        <v>17.201469998108223</v>
      </c>
      <c r="D31" s="1">
        <v>17.464927875844296</v>
      </c>
      <c r="I31" s="1">
        <v>0.56587420270393995</v>
      </c>
      <c r="J31" s="1">
        <v>0.83040864284188365</v>
      </c>
      <c r="K31" s="1">
        <v>9.6072267830439165E-2</v>
      </c>
      <c r="L31" s="1">
        <v>0.23612170781579028</v>
      </c>
    </row>
    <row r="32" spans="1:12">
      <c r="A32" s="1">
        <v>8.6228317538916599</v>
      </c>
      <c r="B32" s="1">
        <v>4.3167381388775539</v>
      </c>
      <c r="C32" s="1">
        <v>8.8400986694614403</v>
      </c>
      <c r="D32" s="1">
        <v>3.6971562419785187</v>
      </c>
      <c r="I32" s="1">
        <v>0.16037476729636524</v>
      </c>
      <c r="J32" s="1">
        <v>0.38731040375988035</v>
      </c>
      <c r="K32" s="1">
        <v>0.10925626392406995</v>
      </c>
      <c r="L32" s="1">
        <v>2.9541917172765282E-2</v>
      </c>
    </row>
    <row r="33" spans="1:12">
      <c r="A33" s="1">
        <v>16.153277354314923</v>
      </c>
      <c r="B33" s="1">
        <v>18.633242032374255</v>
      </c>
      <c r="C33" s="1">
        <v>14.715877821581671</v>
      </c>
      <c r="D33" s="1">
        <v>9.2751327226869762</v>
      </c>
      <c r="I33" s="1">
        <v>0.62688070314645827</v>
      </c>
      <c r="J33" s="1">
        <v>0.41010773033845027</v>
      </c>
      <c r="K33" s="1">
        <v>0.8852504043702506</v>
      </c>
      <c r="L33" s="1">
        <v>0.83449812311166727</v>
      </c>
    </row>
    <row r="34" spans="1:12">
      <c r="A34" s="1">
        <v>4.1780970402760431</v>
      </c>
      <c r="B34" s="1">
        <v>9.0236347002792172</v>
      </c>
      <c r="C34" s="1">
        <v>6.711233052337775</v>
      </c>
      <c r="D34" s="1">
        <v>14.10993834520923</v>
      </c>
      <c r="I34" s="1">
        <v>0.81536301767021702</v>
      </c>
      <c r="J34" s="1">
        <v>2.9145176549577319E-2</v>
      </c>
      <c r="K34" s="1">
        <v>0.49238563188573869</v>
      </c>
      <c r="L34" s="1">
        <v>0.56752220221564376</v>
      </c>
    </row>
    <row r="35" spans="1:12">
      <c r="A35" s="1">
        <v>15.094000243843766</v>
      </c>
      <c r="B35" s="1">
        <v>15.040942596679088</v>
      </c>
      <c r="C35" s="1">
        <v>9.0251978942978894</v>
      </c>
      <c r="D35" s="1">
        <v>8.5834563176467782</v>
      </c>
      <c r="I35" s="1">
        <v>0.11111789300210578</v>
      </c>
      <c r="J35" s="1">
        <v>0.18256172368541521</v>
      </c>
      <c r="K35" s="1">
        <v>0.33356730857264932</v>
      </c>
      <c r="L35" s="1">
        <v>0.86812952055421611</v>
      </c>
    </row>
    <row r="36" spans="1:12">
      <c r="A36" s="1">
        <v>11.540820449008606</v>
      </c>
      <c r="B36" s="1">
        <v>7.5035279931034893</v>
      </c>
      <c r="C36" s="1">
        <v>6.8551946949446574</v>
      </c>
      <c r="D36" s="1">
        <v>7.567454101954354</v>
      </c>
      <c r="I36" s="1">
        <v>0.55137791070284126</v>
      </c>
      <c r="J36" s="1">
        <v>0.39225440229499192</v>
      </c>
      <c r="K36" s="1">
        <v>0.44322031311990723</v>
      </c>
      <c r="L36" s="1">
        <v>0.33262123477889338</v>
      </c>
    </row>
    <row r="37" spans="1:12">
      <c r="A37" s="1">
        <v>23.340104487724602</v>
      </c>
      <c r="B37" s="1">
        <v>6.2824063004518393</v>
      </c>
      <c r="C37" s="1">
        <v>16.056563961465145</v>
      </c>
      <c r="D37" s="1">
        <v>13.342620402690955</v>
      </c>
      <c r="I37" s="1">
        <v>0.74797814874721513</v>
      </c>
      <c r="J37" s="1">
        <v>0.11990722373119297</v>
      </c>
      <c r="K37" s="1">
        <v>4.4160283211767938E-2</v>
      </c>
      <c r="L37" s="1">
        <v>0.96896267586291085</v>
      </c>
    </row>
    <row r="38" spans="1:12">
      <c r="A38" s="1">
        <v>9.2956134065025253</v>
      </c>
      <c r="B38" s="1">
        <v>11.980458819161868</v>
      </c>
      <c r="C38" s="1">
        <v>6.2778645112848608</v>
      </c>
      <c r="D38" s="1">
        <v>3.6141762191255111</v>
      </c>
      <c r="I38" s="1">
        <v>0.14841151158177435</v>
      </c>
      <c r="J38" s="1">
        <v>0.10950041199987792</v>
      </c>
      <c r="K38" s="1">
        <v>0.14529862361522264</v>
      </c>
      <c r="L38" s="1">
        <v>0.52821436201055938</v>
      </c>
    </row>
    <row r="39" spans="1:12">
      <c r="A39" s="1">
        <v>10.898114649316994</v>
      </c>
      <c r="B39" s="1">
        <v>13.739319254236761</v>
      </c>
      <c r="C39" s="1">
        <v>5.7949512463528663</v>
      </c>
      <c r="D39" s="1">
        <v>12.77736944553908</v>
      </c>
      <c r="I39" s="1">
        <v>0.66582232123783069</v>
      </c>
      <c r="J39" s="1">
        <v>0.62215033417767873</v>
      </c>
      <c r="K39" s="1">
        <v>0.4616840113528855</v>
      </c>
      <c r="L39" s="1">
        <v>0.86965544602801603</v>
      </c>
    </row>
    <row r="40" spans="1:12">
      <c r="A40" s="1">
        <v>11.736577814881457</v>
      </c>
      <c r="B40" s="1">
        <v>9.7985639765829546</v>
      </c>
      <c r="C40" s="1">
        <v>11.115546410801471</v>
      </c>
      <c r="D40" s="1">
        <v>6.9690520629228558</v>
      </c>
      <c r="I40" s="1">
        <v>0.20926541947691274</v>
      </c>
      <c r="J40" s="1">
        <v>0.97009186071352271</v>
      </c>
      <c r="K40" s="1">
        <v>0.43806268501846368</v>
      </c>
      <c r="L40" s="1">
        <v>1.489303262428663E-2</v>
      </c>
    </row>
    <row r="41" spans="1:12">
      <c r="A41" s="1">
        <v>16.434538590838201</v>
      </c>
      <c r="B41" s="1">
        <v>9.4871359376702458</v>
      </c>
      <c r="C41" s="1">
        <v>9.9210103851510212</v>
      </c>
      <c r="D41" s="1">
        <v>11.723986997603788</v>
      </c>
      <c r="I41" s="1">
        <v>0.14597003082369456</v>
      </c>
      <c r="J41" s="1">
        <v>0.25534836878566852</v>
      </c>
      <c r="K41" s="1">
        <v>0.6572771385845515</v>
      </c>
      <c r="L41" s="1">
        <v>4.8097170934171575E-2</v>
      </c>
    </row>
    <row r="42" spans="1:12">
      <c r="A42" s="1">
        <v>15.382696599554038</v>
      </c>
      <c r="B42" s="1">
        <v>11.216955070049153</v>
      </c>
      <c r="C42" s="1">
        <v>11.224441348313121</v>
      </c>
      <c r="D42" s="1">
        <v>4.5388026389991865</v>
      </c>
      <c r="I42" s="1">
        <v>0.22605059968871119</v>
      </c>
      <c r="J42" s="1">
        <v>0.72032837916196168</v>
      </c>
      <c r="K42" s="1">
        <v>0.41444135868404186</v>
      </c>
      <c r="L42" s="1">
        <v>0.51774651326029242</v>
      </c>
    </row>
  </sheetData>
  <mergeCells count="3">
    <mergeCell ref="A3:F4"/>
    <mergeCell ref="J3:P4"/>
    <mergeCell ref="A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Sheet11</vt:lpstr>
      <vt:lpstr>Sheet14</vt:lpstr>
      <vt:lpstr>Sheet15</vt:lpstr>
      <vt:lpstr>Sheet13</vt:lpstr>
      <vt:lpstr>Sheet12</vt:lpstr>
      <vt:lpstr>Sheet16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2026-04-20T13:18:10Z</dcterms:created>
  <dcterms:modified xsi:type="dcterms:W3CDTF">2026-04-21T06:16:34Z</dcterms:modified>
</cp:coreProperties>
</file>