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6a3659bfd6fe78/Documents/"/>
    </mc:Choice>
  </mc:AlternateContent>
  <xr:revisionPtr revIDLastSave="982" documentId="8_{AC83C96A-580E-48E5-8109-14091AA5DB8D}" xr6:coauthVersionLast="47" xr6:coauthVersionMax="47" xr10:uidLastSave="{5D76C44A-B929-47FC-9549-2E85A8848C5C}"/>
  <bookViews>
    <workbookView xWindow="-108" yWindow="-108" windowWidth="23256" windowHeight="12456" xr2:uid="{581FB288-4AD6-4F7E-8B59-1048AF0AD38A}"/>
  </bookViews>
  <sheets>
    <sheet name="BINOMIAL" sheetId="1" r:id="rId1"/>
    <sheet name="MULTINOMIAL" sheetId="2" r:id="rId2"/>
    <sheet name="POISSON" sheetId="3" r:id="rId3"/>
    <sheet name="GEOMETRIC" sheetId="4" r:id="rId4"/>
    <sheet name="UNIFORM" sheetId="5" r:id="rId5"/>
    <sheet name="EXPONENTIAL" sheetId="6" r:id="rId6"/>
    <sheet name="NORMAL" sheetId="7" r:id="rId7"/>
    <sheet name="BIVARIETE" sheetId="8" r:id="rId8"/>
    <sheet name="CORRELATION" sheetId="9" r:id="rId9"/>
    <sheet name="Karl_PearsonX" sheetId="10" r:id="rId10"/>
    <sheet name="DISCRETE" sheetId="11" r:id="rId11"/>
    <sheet name="CONTINUOU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1" l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2" i="12"/>
  <c r="C2" i="11"/>
  <c r="B2" i="11"/>
  <c r="A2" i="11"/>
  <c r="J10" i="9"/>
  <c r="I9" i="9"/>
  <c r="H8" i="9"/>
  <c r="J3" i="9"/>
  <c r="J4" i="9"/>
  <c r="J5" i="9"/>
  <c r="J6" i="9"/>
  <c r="J2" i="9"/>
  <c r="I3" i="9"/>
  <c r="I4" i="9"/>
  <c r="I5" i="9"/>
  <c r="I6" i="9"/>
  <c r="I2" i="9"/>
  <c r="H3" i="9"/>
  <c r="H4" i="9"/>
  <c r="H5" i="9"/>
  <c r="H6" i="9"/>
  <c r="H2" i="9"/>
  <c r="G3" i="9"/>
  <c r="G4" i="9"/>
  <c r="G5" i="9"/>
  <c r="G6" i="9"/>
  <c r="G2" i="9"/>
  <c r="F3" i="9"/>
  <c r="F4" i="9"/>
  <c r="F5" i="9"/>
  <c r="F6" i="9"/>
  <c r="F2" i="9"/>
  <c r="E8" i="9"/>
  <c r="D8" i="9"/>
  <c r="E3" i="9"/>
  <c r="E4" i="9"/>
  <c r="E5" i="9"/>
  <c r="E6" i="9"/>
  <c r="E2" i="9"/>
  <c r="D3" i="9"/>
  <c r="D4" i="9"/>
  <c r="D5" i="9"/>
  <c r="D6" i="9"/>
  <c r="D2" i="9"/>
  <c r="F8" i="10"/>
  <c r="H8" i="10"/>
  <c r="G8" i="10"/>
  <c r="E8" i="10"/>
  <c r="G3" i="10"/>
  <c r="G4" i="10"/>
  <c r="G5" i="10"/>
  <c r="G6" i="10"/>
  <c r="G7" i="10"/>
  <c r="G2" i="10"/>
  <c r="F3" i="10"/>
  <c r="F4" i="10"/>
  <c r="F5" i="10"/>
  <c r="F6" i="10"/>
  <c r="F7" i="10"/>
  <c r="F2" i="10"/>
  <c r="E3" i="10"/>
  <c r="E4" i="10"/>
  <c r="E5" i="10"/>
  <c r="E6" i="10"/>
  <c r="E7" i="10"/>
  <c r="E2" i="10"/>
  <c r="D3" i="10"/>
  <c r="D4" i="10"/>
  <c r="D5" i="10"/>
  <c r="D6" i="10"/>
  <c r="D7" i="10"/>
  <c r="D8" i="10"/>
  <c r="D2" i="10"/>
  <c r="C3" i="10"/>
  <c r="C4" i="10"/>
  <c r="C5" i="10"/>
  <c r="C6" i="10"/>
  <c r="C7" i="10"/>
  <c r="C8" i="10"/>
  <c r="C2" i="10"/>
  <c r="B8" i="10"/>
  <c r="A8" i="10"/>
  <c r="F8" i="8"/>
  <c r="F2" i="8"/>
  <c r="E2" i="8"/>
  <c r="D2" i="8"/>
  <c r="C8" i="8"/>
  <c r="B8" i="8"/>
  <c r="B30" i="7"/>
  <c r="B29" i="7"/>
  <c r="B28" i="7"/>
  <c r="D16" i="7"/>
  <c r="C3" i="7"/>
  <c r="C4" i="7"/>
  <c r="C5" i="7"/>
  <c r="C6" i="7"/>
  <c r="C7" i="7"/>
  <c r="C8" i="7"/>
  <c r="C9" i="7"/>
  <c r="C10" i="7"/>
  <c r="C11" i="7"/>
  <c r="C12" i="7"/>
  <c r="C13" i="7"/>
  <c r="C14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2" i="7"/>
  <c r="C3" i="6"/>
  <c r="C4" i="6"/>
  <c r="C5" i="6"/>
  <c r="C6" i="6"/>
  <c r="C7" i="6"/>
  <c r="C8" i="6"/>
  <c r="C9" i="6"/>
  <c r="C10" i="6"/>
  <c r="C11" i="6"/>
  <c r="C12" i="6"/>
  <c r="C2" i="6"/>
  <c r="B3" i="6"/>
  <c r="B4" i="6"/>
  <c r="B5" i="6"/>
  <c r="B6" i="6"/>
  <c r="B7" i="6"/>
  <c r="B8" i="6"/>
  <c r="B9" i="6"/>
  <c r="B10" i="6"/>
  <c r="B11" i="6"/>
  <c r="B12" i="6"/>
  <c r="B2" i="6"/>
  <c r="C3" i="5"/>
  <c r="C4" i="5"/>
  <c r="C5" i="5"/>
  <c r="C6" i="5"/>
  <c r="C7" i="5"/>
  <c r="C8" i="5"/>
  <c r="C9" i="5"/>
  <c r="C10" i="5"/>
  <c r="C11" i="5"/>
  <c r="C12" i="5"/>
  <c r="C2" i="5"/>
  <c r="B3" i="5"/>
  <c r="B4" i="5"/>
  <c r="B5" i="5"/>
  <c r="B6" i="5"/>
  <c r="B7" i="5"/>
  <c r="B8" i="5"/>
  <c r="B9" i="5"/>
  <c r="B10" i="5"/>
  <c r="B11" i="5"/>
  <c r="B12" i="5"/>
  <c r="B2" i="5"/>
  <c r="C3" i="4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  <c r="C3" i="1"/>
  <c r="C4" i="1"/>
  <c r="C5" i="1"/>
  <c r="C6" i="1"/>
  <c r="C7" i="1"/>
  <c r="C8" i="1"/>
  <c r="C9" i="1"/>
  <c r="C10" i="1"/>
  <c r="C11" i="1"/>
  <c r="C12" i="1"/>
  <c r="C13" i="1"/>
  <c r="C1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2" i="1"/>
  <c r="C21" i="3"/>
  <c r="C4" i="3"/>
  <c r="C5" i="3"/>
  <c r="C6" i="3"/>
  <c r="C7" i="3"/>
  <c r="C8" i="3"/>
  <c r="C9" i="3"/>
  <c r="C10" i="3"/>
  <c r="C2" i="3"/>
  <c r="E3" i="2"/>
  <c r="E4" i="2"/>
  <c r="E5" i="2"/>
  <c r="E6" i="2"/>
  <c r="E7" i="2"/>
  <c r="E8" i="2"/>
  <c r="E2" i="2"/>
  <c r="D3" i="2"/>
  <c r="D4" i="2"/>
  <c r="D5" i="2"/>
  <c r="D6" i="2"/>
  <c r="D7" i="2"/>
  <c r="D8" i="2"/>
  <c r="D2" i="2"/>
</calcChain>
</file>

<file path=xl/sharedStrings.xml><?xml version="1.0" encoding="utf-8"?>
<sst xmlns="http://schemas.openxmlformats.org/spreadsheetml/2006/main" count="145" uniqueCount="119">
  <si>
    <t>x</t>
  </si>
  <si>
    <t>Cumalative distribution fuction(Cdf)</t>
  </si>
  <si>
    <t>binomial distribution function(pdf)</t>
  </si>
  <si>
    <t>outcomes</t>
  </si>
  <si>
    <t>n trials</t>
  </si>
  <si>
    <t>P</t>
  </si>
  <si>
    <t>P(3 ≤ X ≤ 6)</t>
  </si>
  <si>
    <t>P(X&lt;4)</t>
  </si>
  <si>
    <t>P(X=4)</t>
  </si>
  <si>
    <t>P(X ≥ 4)</t>
  </si>
  <si>
    <t>9.Find probability of exactly 4 successes in 12 trials.</t>
  </si>
  <si>
    <r>
      <t>1</t>
    </r>
    <r>
      <rPr>
        <b/>
        <sz val="12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Plotting and graphical representation of binomial distribution of binomial distribution (pdf and </t>
    </r>
  </si>
  <si>
    <t>and cdf) for n=12  with probability of success p=0.5(calculated).</t>
  </si>
  <si>
    <t>x1</t>
  </si>
  <si>
    <t>x2</t>
  </si>
  <si>
    <t>Probability</t>
  </si>
  <si>
    <t>x3</t>
  </si>
  <si>
    <t>outcome</t>
  </si>
  <si>
    <t xml:space="preserve">2.graphical representation for mutinomial distribution (n=5 ,p1=0.2 ,p2=0.5 ,p3=0.3 ) </t>
  </si>
  <si>
    <t>Number of events(x)</t>
  </si>
  <si>
    <t>lambda</t>
  </si>
  <si>
    <t>10.a call center receives average 3calls per minute find the poisson distribution.</t>
  </si>
  <si>
    <t>3.plotting and graphical representation of poisson distribution for lambda=3 and number of trials n=8.</t>
  </si>
  <si>
    <t>PDF</t>
  </si>
  <si>
    <t>CDF</t>
  </si>
  <si>
    <t>Find:</t>
  </si>
  <si>
    <r>
      <t xml:space="preserve">A student is preparing for a competitive exam. The probability of passing the exam in each attempt is </t>
    </r>
    <r>
      <rPr>
        <b/>
        <sz val="11"/>
        <color theme="1"/>
        <rFont val="Calibri"/>
        <family val="2"/>
        <scheme val="minor"/>
      </rPr>
      <t>0.3</t>
    </r>
    <r>
      <rPr>
        <sz val="11"/>
        <color theme="1"/>
        <rFont val="Calibri"/>
        <family val="2"/>
        <scheme val="minor"/>
      </rPr>
      <t>. Each attempt is independent of the others.</t>
    </r>
  </si>
  <si>
    <r>
      <t xml:space="preserve">1. The probability that the student passes the exam for the </t>
    </r>
    <r>
      <rPr>
        <b/>
        <sz val="11"/>
        <color theme="1"/>
        <rFont val="Calibri"/>
        <family val="2"/>
        <scheme val="minor"/>
      </rPr>
      <t>first time on the 3rd attempt</t>
    </r>
    <r>
      <rPr>
        <sz val="11"/>
        <color theme="1"/>
        <rFont val="Calibri"/>
        <family val="2"/>
        <scheme val="minor"/>
      </rPr>
      <t>.</t>
    </r>
  </si>
  <si>
    <r>
      <t xml:space="preserve">2. The probability that the student passes the exam </t>
    </r>
    <r>
      <rPr>
        <b/>
        <sz val="11"/>
        <color theme="1"/>
        <rFont val="Calibri"/>
        <family val="2"/>
        <scheme val="minor"/>
      </rPr>
      <t>within the first 5 attempts</t>
    </r>
    <r>
      <rPr>
        <sz val="11"/>
        <color theme="1"/>
        <rFont val="Calibri"/>
        <family val="2"/>
        <scheme val="minor"/>
      </rPr>
      <t>.</t>
    </r>
  </si>
  <si>
    <r>
      <t xml:space="preserve">3. The probability that the student will require </t>
    </r>
    <r>
      <rPr>
        <b/>
        <sz val="11"/>
        <color theme="1"/>
        <rFont val="Calibri"/>
        <family val="2"/>
        <scheme val="minor"/>
      </rPr>
      <t>at least 4 attempts</t>
    </r>
    <r>
      <rPr>
        <sz val="11"/>
        <color theme="1"/>
        <rFont val="Calibri"/>
        <family val="2"/>
        <scheme val="minor"/>
      </rPr>
      <t xml:space="preserve"> to pass the exam.</t>
    </r>
  </si>
  <si>
    <t>4.Plotting and fitting of Geometric distribution and graphical representation of probabilities.</t>
  </si>
  <si>
    <t>PDF f(x)</t>
  </si>
  <si>
    <t>CDF f(x)</t>
  </si>
  <si>
    <r>
      <t xml:space="preserve">A random number is selected uniformly between </t>
    </r>
    <r>
      <rPr>
        <b/>
        <sz val="11"/>
        <color theme="1"/>
        <rFont val="Calibri"/>
        <family val="2"/>
        <scheme val="minor"/>
      </rPr>
      <t>0 and 10</t>
    </r>
    <r>
      <rPr>
        <sz val="11"/>
        <color theme="1"/>
        <rFont val="Calibri"/>
        <family val="2"/>
        <scheme val="minor"/>
      </rPr>
      <t>. All values in this interval are equally likely.</t>
    </r>
  </si>
  <si>
    <r>
      <t xml:space="preserve">1. The probability that the number lies between </t>
    </r>
    <r>
      <rPr>
        <b/>
        <sz val="11"/>
        <color theme="1"/>
        <rFont val="Calibri"/>
        <family val="2"/>
        <scheme val="minor"/>
      </rPr>
      <t>2 and 5</t>
    </r>
  </si>
  <si>
    <r>
      <t xml:space="preserve">2. The probability that the number is </t>
    </r>
    <r>
      <rPr>
        <b/>
        <sz val="11"/>
        <color theme="1"/>
        <rFont val="Calibri"/>
        <family val="2"/>
        <scheme val="minor"/>
      </rPr>
      <t>less than 7</t>
    </r>
  </si>
  <si>
    <r>
      <t xml:space="preserve">3. The probability that the number is </t>
    </r>
    <r>
      <rPr>
        <b/>
        <sz val="11"/>
        <color theme="1"/>
        <rFont val="Calibri"/>
        <family val="2"/>
        <scheme val="minor"/>
      </rPr>
      <t>greater than 6</t>
    </r>
  </si>
  <si>
    <t>x(time)</t>
  </si>
  <si>
    <t>a</t>
  </si>
  <si>
    <t>b</t>
  </si>
  <si>
    <t>6.Plotting and fitting of Exponential distribution and graphical representation of probabilities.</t>
  </si>
  <si>
    <t>Assume that failures occur randomly and independently.</t>
  </si>
  <si>
    <t>A factory uses a machine whose lifetime follows an exponential distribution. The average lifetime of the machine is 5 hours, and the failure rate is constant.</t>
  </si>
  <si>
    <t>1. The probability that the machine fails within the first 3 hours</t>
  </si>
  <si>
    <t>2. The probability that the machine lasts more than 4 hours</t>
  </si>
  <si>
    <t>3. The probability that the machine fails between 2 and 6 hours</t>
  </si>
  <si>
    <t>X</t>
  </si>
  <si>
    <t>PDF F(x)</t>
  </si>
  <si>
    <t>CDF F(x)</t>
  </si>
  <si>
    <t>mean</t>
  </si>
  <si>
    <t>std dev</t>
  </si>
  <si>
    <t>Assuming the distribution is continuous and symmetric, answer the following:</t>
  </si>
  <si>
    <t>7.Plotting and fitting of Normal distribution and graphical representation of probabilities.</t>
  </si>
  <si>
    <t>The marks obtained by students in a competitive examination are normally distributed with a mean (μ) of 50 and a standard deviation (σ) of 10.</t>
  </si>
  <si>
    <t>1. Find the probability that a randomly selected student scores between 40 and 60 marks.</t>
  </si>
  <si>
    <t>2. Find the probability that a student scores more than 70 marks.</t>
  </si>
  <si>
    <t>3. Find the probability that a student scores less than 30 marks.</t>
  </si>
  <si>
    <t>11.NORMAL DISTRIBUTION(APPLICATION PROBLEM)</t>
  </si>
  <si>
    <t>P(40 ≤ X ≤ 60)</t>
  </si>
  <si>
    <t>P(X ≥ 70)</t>
  </si>
  <si>
    <t>P(X ≤ 30)</t>
  </si>
  <si>
    <t>Conclusion:</t>
  </si>
  <si>
    <t>Most values lie near the mean, while extreme values have very low probability.</t>
  </si>
  <si>
    <t>Application problems based on the Normal distribution.</t>
  </si>
  <si>
    <t>student</t>
  </si>
  <si>
    <t>Y(Marks)</t>
  </si>
  <si>
    <t>X(Hours)</t>
  </si>
  <si>
    <t>A</t>
  </si>
  <si>
    <t>B</t>
  </si>
  <si>
    <t>C</t>
  </si>
  <si>
    <t>D</t>
  </si>
  <si>
    <t>E</t>
  </si>
  <si>
    <t>X - X̄</t>
  </si>
  <si>
    <t>Y - Ȳ</t>
  </si>
  <si>
    <t>AVERAGE</t>
  </si>
  <si>
    <t>12.Presentation of bivariate data through scatter-plot diagrams and calculations of covariance.</t>
  </si>
  <si>
    <t>A teacher wants to study the relationship between the number of hours students spend studying and the marks they obtain in an exam. The following data was collected for five students:</t>
  </si>
  <si>
    <t>Student</t>
  </si>
  <si>
    <t>Hours Studied (X)</t>
  </si>
  <si>
    <t>Marks Obtained (Y)</t>
  </si>
  <si>
    <t>Y</t>
  </si>
  <si>
    <t>(X−X̄)(Y−Ȳ)</t>
  </si>
  <si>
    <t>(Y−Ȳ)²</t>
  </si>
  <si>
    <t>(X−X̄)²</t>
  </si>
  <si>
    <t>r</t>
  </si>
  <si>
    <r>
      <t>E</t>
    </r>
    <r>
      <rPr>
        <b/>
        <sz val="11"/>
        <color theme="1"/>
        <rFont val="Calibri"/>
        <family val="2"/>
        <scheme val="minor"/>
      </rPr>
      <t>XAMPLE:
SUPPOSE
X = Hours studied
Y = Marks obtained
X  	 Y
2  	 40
4  	 50
6  	 65
8  	 70
10   80</t>
    </r>
  </si>
  <si>
    <t>13.Calculation of Karl Pearson’s correlation coefficients.</t>
  </si>
  <si>
    <t>Suppose we have:</t>
  </si>
  <si>
    <t>X = Marks in Subject A</t>
  </si>
  <si>
    <t>Y = Marks in Subject B</t>
  </si>
  <si>
    <t>And frequencies (f):</t>
  </si>
  <si>
    <t>f</t>
  </si>
  <si>
    <t>fX</t>
  </si>
  <si>
    <t>fY</t>
  </si>
  <si>
    <t>mean of X</t>
  </si>
  <si>
    <t>mean of Y</t>
  </si>
  <si>
    <t>X−X̄</t>
  </si>
  <si>
    <t>Y−Ȳ</t>
  </si>
  <si>
    <t>f(X−X̄)(Y−Ȳ)</t>
  </si>
  <si>
    <t>f(X−X̄)²</t>
  </si>
  <si>
    <t>f(Y−Ȳ)²</t>
  </si>
  <si>
    <t>question14:</t>
  </si>
  <si>
    <t>5.Plotting and fitting of Uniform distribution and graphical representation of probabilities.</t>
  </si>
  <si>
    <t>A factory is analyzing its production process:</t>
  </si>
  <si>
    <t>2. In a batch of 5 products, number of defectives → Binomial</t>
  </si>
  <si>
    <t>3. Number of defects per hour in a machine → Poisson</t>
  </si>
  <si>
    <t>1. Each product can be defective or not → Bernoulli</t>
  </si>
  <si>
    <t>15. Generating Random numbers from discrete (Bernoulli, Binomial, Poisson) distributions.</t>
  </si>
  <si>
    <r>
      <rPr>
        <b/>
        <sz val="11"/>
        <color theme="1"/>
        <rFont val="Calibri"/>
        <family val="2"/>
        <scheme val="minor"/>
      </rPr>
      <t>given</t>
    </r>
    <r>
      <rPr>
        <sz val="11"/>
        <color theme="1"/>
        <rFont val="Calibri"/>
        <family val="2"/>
        <scheme val="minor"/>
      </rPr>
      <t>:Probability of defect (p) = 0.3
Batch size (n) = 5
Average defects per hour (λ) = 2</t>
    </r>
  </si>
  <si>
    <t>bernoulli</t>
  </si>
  <si>
    <t>binomial</t>
  </si>
  <si>
    <t>poisson</t>
  </si>
  <si>
    <t>UNIFORM</t>
  </si>
  <si>
    <t>NORMAL</t>
  </si>
  <si>
    <t>A company is analyzing:</t>
  </si>
  <si>
    <t>16.Generating Random numbers from continuous (Uniform, Normal) distributions.</t>
  </si>
  <si>
    <t>mean=50,std dev=10)</t>
  </si>
  <si>
    <t>Random time between 0 to 10 minutes ( Uniform Distribution)</t>
  </si>
  <si>
    <t>Employee test scores ( Normal Distribution (μ = 50, σ =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</si>
</sst>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97594050743654E-2"/>
          <c:y val="0.13653944298629339"/>
          <c:w val="0.8838912948381452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BINOMIAL!$C$1</c:f>
              <c:strCache>
                <c:ptCount val="1"/>
                <c:pt idx="0">
                  <c:v>Cumalative distribution fuction(Cdf)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BINOMIAL!$A$2:$A$14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BINOMIAL!$C$2:$C$14</c:f>
              <c:numCache>
                <c:formatCode>General</c:formatCode>
                <c:ptCount val="13"/>
                <c:pt idx="0">
                  <c:v>2.4414062500000016E-4</c:v>
                </c:pt>
                <c:pt idx="1">
                  <c:v>3.1738281250000004E-3</c:v>
                </c:pt>
                <c:pt idx="2">
                  <c:v>1.9287109375000007E-2</c:v>
                </c:pt>
                <c:pt idx="3">
                  <c:v>7.2998046875000014E-2</c:v>
                </c:pt>
                <c:pt idx="4">
                  <c:v>0.19384765625</c:v>
                </c:pt>
                <c:pt idx="5">
                  <c:v>0.38720703125000011</c:v>
                </c:pt>
                <c:pt idx="6">
                  <c:v>0.61279296874999989</c:v>
                </c:pt>
                <c:pt idx="7">
                  <c:v>0.80615234375</c:v>
                </c:pt>
                <c:pt idx="8">
                  <c:v>0.927001953125</c:v>
                </c:pt>
                <c:pt idx="9">
                  <c:v>0.980712890625</c:v>
                </c:pt>
                <c:pt idx="10">
                  <c:v>0.996826171875</c:v>
                </c:pt>
                <c:pt idx="11">
                  <c:v>0.999755859375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F-4E13-B942-48B8CA7B4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958127"/>
        <c:axId val="1588957647"/>
      </c:scatterChart>
      <c:valAx>
        <c:axId val="158895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57647"/>
        <c:crosses val="autoZero"/>
        <c:crossBetween val="midCat"/>
      </c:valAx>
      <c:valAx>
        <c:axId val="15889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5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BINOMIAL!$B$1</c:f>
              <c:strCache>
                <c:ptCount val="1"/>
                <c:pt idx="0">
                  <c:v>binomial distribution function(pdf)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BINOMIAL!$A$2:$A$14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BINOMIAL!$B$2:$B$14</c:f>
              <c:numCache>
                <c:formatCode>General</c:formatCode>
                <c:ptCount val="13"/>
                <c:pt idx="0">
                  <c:v>2.4414062500000016E-4</c:v>
                </c:pt>
                <c:pt idx="1">
                  <c:v>2.9296874999999996E-3</c:v>
                </c:pt>
                <c:pt idx="2">
                  <c:v>1.611328125000001E-2</c:v>
                </c:pt>
                <c:pt idx="3">
                  <c:v>5.3710937499999965E-2</c:v>
                </c:pt>
                <c:pt idx="4">
                  <c:v>0.12084960937500001</c:v>
                </c:pt>
                <c:pt idx="5">
                  <c:v>0.19335937500000006</c:v>
                </c:pt>
                <c:pt idx="6">
                  <c:v>0.22558593750000003</c:v>
                </c:pt>
                <c:pt idx="7">
                  <c:v>0.19335937500000006</c:v>
                </c:pt>
                <c:pt idx="8">
                  <c:v>0.12084960937500001</c:v>
                </c:pt>
                <c:pt idx="9">
                  <c:v>5.3710937499999965E-2</c:v>
                </c:pt>
                <c:pt idx="10">
                  <c:v>1.6113281250000003E-2</c:v>
                </c:pt>
                <c:pt idx="11">
                  <c:v>2.9296874999999996E-3</c:v>
                </c:pt>
                <c:pt idx="12">
                  <c:v>2.4414062500000016E-4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A-40F9-B118-86517409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132735"/>
        <c:axId val="1882133215"/>
      </c:barChart>
      <c:catAx>
        <c:axId val="188213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33215"/>
        <c:crosses val="autoZero"/>
        <c:auto val="1"/>
        <c:lblAlgn val="ctr"/>
        <c:lblOffset val="100"/>
        <c:noMultiLvlLbl val="0"/>
      </c:catAx>
      <c:valAx>
        <c:axId val="18821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3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Multinomial</a:t>
            </a:r>
            <a:r>
              <a:rPr lang="en-IN" baseline="0"/>
              <a:t> distribution (n=5)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MULTINOMIAL!$B$1</c:f>
              <c:strCache>
                <c:ptCount val="1"/>
                <c:pt idx="0">
                  <c:v>x2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MULTINOMIAL!$A$2:$A$8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cat>
          <c:val>
            <c:numRef>
              <c:f>MULTINOMIAL!$B$2:$B$8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9-4F35-91AE-196D0C8D6707}"/>
            </c:ext>
          </c:extLst>
        </c:ser>
        <c:ser>
          <c:idx val="1"/>
          <c:order val="1"/>
          <c:tx>
            <c:strRef>
              <c:f>MULTINOMIAL!$C$1</c:f>
              <c:strCache>
                <c:ptCount val="1"/>
                <c:pt idx="0">
                  <c:v>x3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MULTINOMIAL!$A$2:$A$8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cat>
          <c:val>
            <c:numRef>
              <c:f>MULTINOMIAL!$C$2:$C$8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9-4F35-91AE-196D0C8D6707}"/>
            </c:ext>
          </c:extLst>
        </c:ser>
        <c:ser>
          <c:idx val="2"/>
          <c:order val="2"/>
          <c:tx>
            <c:strRef>
              <c:f>MULTINOMIAL!$D$1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MULTINOMIAL!$A$2:$A$8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cat>
          <c:val>
            <c:numRef>
              <c:f>MULTINOMIAL!$D$2:$D$8</c:f>
              <c:numCache>
                <c:formatCode>General</c:formatCode>
                <c:ptCount val="7"/>
                <c:pt idx="0">
                  <c:v>2.4299999999999999E-3</c:v>
                </c:pt>
                <c:pt idx="1">
                  <c:v>2.0249999999999997E-2</c:v>
                </c:pt>
                <c:pt idx="2">
                  <c:v>6.7500000000000004E-2</c:v>
                </c:pt>
                <c:pt idx="3">
                  <c:v>0.13500000000000001</c:v>
                </c:pt>
                <c:pt idx="4">
                  <c:v>9.0000000000000011E-2</c:v>
                </c:pt>
                <c:pt idx="5">
                  <c:v>2.4000000000000004E-2</c:v>
                </c:pt>
                <c:pt idx="6">
                  <c:v>3.2000000000000019E-4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39-4F35-91AE-196D0C8D6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287215"/>
        <c:axId val="1981286735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MULTINOMIAL!$E$1</c15:sqref>
                        </c15:formulaRef>
                      </c:ext>
                    </c:extLst>
                    <c:strCache>
                      <c:ptCount val="1"/>
                      <c:pt idx="0">
                        <c:v>outcome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MULTINOMIAL!$A$2:$A$8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MULTINOMIAL!$E$2:$E$8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939-4F35-91AE-196D0C8D6707}"/>
                  </c:ext>
                </c:extLst>
              </c15:ser>
            </c15:filteredBarSeries>
          </c:ext>
        </c:extLst>
      </c:barChart>
      <c:catAx>
        <c:axId val="198128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86735"/>
        <c:crosses val="autoZero"/>
        <c:auto val="1"/>
        <c:lblAlgn val="ctr"/>
        <c:lblOffset val="100"/>
        <c:noMultiLvlLbl val="0"/>
      </c:catAx>
      <c:valAx>
        <c:axId val="19812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28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Poisson distribution(lambda=3)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POISSON!$C$1</c:f>
              <c:strCache>
                <c:ptCount val="1"/>
                <c:pt idx="0">
                  <c:v>Probability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POISSON!$A$2:$A$10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POISSON!$C$2:$C$10</c:f>
              <c:numCache>
                <c:formatCode>General</c:formatCode>
                <c:ptCount val="9"/>
                <c:pt idx="0">
                  <c:v>4.9787068367863944E-2</c:v>
                </c:pt>
                <c:pt idx="1">
                  <c:v>4.9799999999999997E-2</c:v>
                </c:pt>
                <c:pt idx="2">
                  <c:v>0.22404180765538775</c:v>
                </c:pt>
                <c:pt idx="3">
                  <c:v>0.22404180765538775</c:v>
                </c:pt>
                <c:pt idx="4">
                  <c:v>0.16803135574154082</c:v>
                </c:pt>
                <c:pt idx="5">
                  <c:v>0.10081881344492448</c:v>
                </c:pt>
                <c:pt idx="6">
                  <c:v>5.0409406722462247E-2</c:v>
                </c:pt>
                <c:pt idx="7">
                  <c:v>2.160403145248382E-2</c:v>
                </c:pt>
                <c:pt idx="8">
                  <c:v>8.1015117946814322E-3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9-49F0-87CB-AEC578011F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986802415"/>
        <c:axId val="1986801455"/>
      </c:barChart>
      <c:catAx>
        <c:axId val="198680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01455"/>
        <c:crosses val="autoZero"/>
        <c:auto val="1"/>
        <c:lblAlgn val="ctr"/>
        <c:lblOffset val="100"/>
        <c:noMultiLvlLbl val="0"/>
      </c:catAx>
      <c:valAx>
        <c:axId val="198680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0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GEOMETRIC!$B$1</c:f>
              <c:strCache>
                <c:ptCount val="1"/>
                <c:pt idx="0">
                  <c:v>PDF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GEOMETRIC!$A$2:$A$11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GEOMETRIC!$B$2:$B$11</c:f>
              <c:numCache>
                <c:formatCode>General</c:formatCode>
                <c:ptCount val="10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  <c:pt idx="8">
                  <c:v>1.7294402999999989E-2</c:v>
                </c:pt>
                <c:pt idx="9">
                  <c:v>1.2106082099999992E-2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D-4461-93A7-C53590951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630400"/>
        <c:axId val="2081618880"/>
      </c:scatterChart>
      <c:valAx>
        <c:axId val="208163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18880"/>
        <c:crosses val="autoZero"/>
        <c:crossBetween val="midCat"/>
      </c:valAx>
      <c:valAx>
        <c:axId val="20816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GEOMETRIC!$C$1</c:f>
              <c:strCache>
                <c:ptCount val="1"/>
                <c:pt idx="0">
                  <c:v>CDF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GEOMETRIC!$A$2:$A$11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GEOMETRIC!$C$2:$C$11</c:f>
              <c:numCache>
                <c:formatCode>General</c:formatCode>
                <c:ptCount val="10"/>
                <c:pt idx="0">
                  <c:v>0.30000000000000004</c:v>
                </c:pt>
                <c:pt idx="1">
                  <c:v>0.51</c:v>
                </c:pt>
                <c:pt idx="2">
                  <c:v>0.65700000000000003</c:v>
                </c:pt>
                <c:pt idx="3">
                  <c:v>0.75990000000000002</c:v>
                </c:pt>
                <c:pt idx="4">
                  <c:v>0.83193000000000006</c:v>
                </c:pt>
                <c:pt idx="5">
                  <c:v>0.88235100000000011</c:v>
                </c:pt>
                <c:pt idx="6">
                  <c:v>0.91764570000000001</c:v>
                </c:pt>
                <c:pt idx="7">
                  <c:v>0.94235199000000003</c:v>
                </c:pt>
                <c:pt idx="8">
                  <c:v>0.95964639299999999</c:v>
                </c:pt>
                <c:pt idx="9">
                  <c:v>0.97175247510000007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D-448A-80AF-F8EFDF87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273744"/>
        <c:axId val="2017257424"/>
      </c:barChart>
      <c:catAx>
        <c:axId val="20172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57424"/>
        <c:crosses val="autoZero"/>
        <c:auto val="1"/>
        <c:lblAlgn val="ctr"/>
        <c:lblOffset val="100"/>
        <c:noMultiLvlLbl val="0"/>
      </c:catAx>
      <c:valAx>
        <c:axId val="20172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7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UNIFORM!$B$1</c:f>
              <c:strCache>
                <c:ptCount val="1"/>
                <c:pt idx="0">
                  <c:v>PDF 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UNIFORM!$A$2:$A$12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UNIFORM!$B$2:$B$12</c:f>
              <c:numCache>
                <c:formatCode>General</c:formatCode>
                <c:ptCount val="1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7-4478-B502-CFA7E04FA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61600"/>
        <c:axId val="228969760"/>
      </c:scatterChart>
      <c:valAx>
        <c:axId val="22896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9760"/>
        <c:crosses val="autoZero"/>
        <c:crossBetween val="midCat"/>
      </c:valAx>
      <c:valAx>
        <c:axId val="2289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UNIFORM!$C$1</c:f>
              <c:strCache>
                <c:ptCount val="1"/>
                <c:pt idx="0">
                  <c:v>CDF f(x)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UNIFORM!$A$2:$A$12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UNIFORM!$C$2:$C$12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D-4F1B-8098-55F1CC68E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935680"/>
        <c:axId val="228942880"/>
      </c:barChart>
      <c:catAx>
        <c:axId val="2289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2880"/>
        <c:crosses val="autoZero"/>
        <c:auto val="1"/>
        <c:lblAlgn val="ctr"/>
        <c:lblOffset val="100"/>
        <c:noMultiLvlLbl val="0"/>
      </c:catAx>
      <c:valAx>
        <c:axId val="2289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EXPONENTIAL!$B$1</c:f>
              <c:strCache>
                <c:ptCount val="1"/>
                <c:pt idx="0">
                  <c:v>PDF f(x)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EXPONENTIAL!$A$2:$A$12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EXPONENTIAL!$B$2:$B$12</c:f>
              <c:numCache>
                <c:formatCode>General</c:formatCode>
                <c:ptCount val="11"/>
                <c:pt idx="0">
                  <c:v>0.2</c:v>
                </c:pt>
                <c:pt idx="1">
                  <c:v>0.16374615061559639</c:v>
                </c:pt>
                <c:pt idx="2">
                  <c:v>0.13406400920712788</c:v>
                </c:pt>
                <c:pt idx="3">
                  <c:v>0.10976232721880529</c:v>
                </c:pt>
                <c:pt idx="4">
                  <c:v>8.9865792823444313E-2</c:v>
                </c:pt>
                <c:pt idx="5">
                  <c:v>7.357588823428847E-2</c:v>
                </c:pt>
                <c:pt idx="6">
                  <c:v>6.0238842382440407E-2</c:v>
                </c:pt>
                <c:pt idx="7">
                  <c:v>4.9319392788321287E-2</c:v>
                </c:pt>
                <c:pt idx="8">
                  <c:v>4.0379303598931077E-2</c:v>
                </c:pt>
                <c:pt idx="9">
                  <c:v>3.3059777644317306E-2</c:v>
                </c:pt>
                <c:pt idx="10">
                  <c:v>2.7067056647322542E-2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9-4C6A-B4B8-EBEF229D0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8940000"/>
        <c:axId val="228940480"/>
      </c:barChart>
      <c:catAx>
        <c:axId val="2289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0480"/>
        <c:crosses val="autoZero"/>
        <c:auto val="1"/>
        <c:lblAlgn val="ctr"/>
        <c:lblOffset val="100"/>
        <c:noMultiLvlLbl val="0"/>
      </c:catAx>
      <c:valAx>
        <c:axId val="2289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EXPONENTIAL!$C$1</c:f>
              <c:strCache>
                <c:ptCount val="1"/>
                <c:pt idx="0">
                  <c:v>CDF f(x)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EXPONENTIAL!$A$2:$A$12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EXPONENTIAL!$C$2:$C$12</c:f>
              <c:numCache>
                <c:formatCode>General</c:formatCode>
                <c:ptCount val="11"/>
                <c:pt idx="0">
                  <c:v>0</c:v>
                </c:pt>
                <c:pt idx="1">
                  <c:v>0.18126924692201818</c:v>
                </c:pt>
                <c:pt idx="2">
                  <c:v>0.32967995396436067</c:v>
                </c:pt>
                <c:pt idx="3">
                  <c:v>0.45118836390597361</c:v>
                </c:pt>
                <c:pt idx="4">
                  <c:v>0.55067103588277844</c:v>
                </c:pt>
                <c:pt idx="5">
                  <c:v>0.63212055882855767</c:v>
                </c:pt>
                <c:pt idx="6">
                  <c:v>0.69880578808779803</c:v>
                </c:pt>
                <c:pt idx="7">
                  <c:v>0.75340303605839354</c:v>
                </c:pt>
                <c:pt idx="8">
                  <c:v>0.79810348200534464</c:v>
                </c:pt>
                <c:pt idx="9">
                  <c:v>0.83470111177841344</c:v>
                </c:pt>
                <c:pt idx="10">
                  <c:v>0.8646647167633873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5-49D1-8AA3-27AA95405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45760"/>
        <c:axId val="228932320"/>
      </c:scatterChart>
      <c:valAx>
        <c:axId val="2289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32320"/>
        <c:crosses val="autoZero"/>
        <c:crossBetween val="midCat"/>
      </c:valAx>
      <c:valAx>
        <c:axId val="2289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NORMAL!$B$1</c:f>
              <c:strCache>
                <c:ptCount val="1"/>
                <c:pt idx="0">
                  <c:v>PDF F(x)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NORMAL!$A$2:$A$14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NORMAL!$B$2:$B$14</c:f>
              <c:numCache>
                <c:formatCode>General</c:formatCode>
                <c:ptCount val="13"/>
                <c:pt idx="0">
                  <c:v>4.4318484119380076E-4</c:v>
                </c:pt>
                <c:pt idx="1">
                  <c:v>1.752830049356854E-3</c:v>
                </c:pt>
                <c:pt idx="2">
                  <c:v>5.3990966513188061E-3</c:v>
                </c:pt>
                <c:pt idx="3">
                  <c:v>1.2951759566589173E-2</c:v>
                </c:pt>
                <c:pt idx="4">
                  <c:v>2.4197072451914336E-2</c:v>
                </c:pt>
                <c:pt idx="5">
                  <c:v>3.5206532676429952E-2</c:v>
                </c:pt>
                <c:pt idx="6">
                  <c:v>3.9894228040143274E-2</c:v>
                </c:pt>
                <c:pt idx="7">
                  <c:v>3.5206532676429952E-2</c:v>
                </c:pt>
                <c:pt idx="8">
                  <c:v>2.4197072451914336E-2</c:v>
                </c:pt>
                <c:pt idx="9">
                  <c:v>1.2951759566589173E-2</c:v>
                </c:pt>
                <c:pt idx="10">
                  <c:v>5.3990966513188061E-3</c:v>
                </c:pt>
                <c:pt idx="11">
                  <c:v>1.752830049356854E-3</c:v>
                </c:pt>
                <c:pt idx="12">
                  <c:v>4.4318484119380076E-4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A-4CA8-B04F-30828E2B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3679792"/>
        <c:axId val="253669712"/>
      </c:barChart>
      <c:catAx>
        <c:axId val="2536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69712"/>
        <c:crosses val="autoZero"/>
        <c:auto val="1"/>
        <c:lblAlgn val="ctr"/>
        <c:lblOffset val="100"/>
        <c:noMultiLvlLbl val="0"/>
      </c:catAx>
      <c:valAx>
        <c:axId val="25366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7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NORMAL!$C$1</c:f>
              <c:strCache>
                <c:ptCount val="1"/>
                <c:pt idx="0">
                  <c:v>CDF F(x)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NORMAL!$A$2:$A$14</c:f>
              <c:numCache>
                <c:formatCode>General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xVal>
          <c:yVal>
            <c:numRef>
              <c:f>NORMAL!$C$2:$C$14</c:f>
              <c:numCache>
                <c:formatCode>General</c:formatCode>
                <c:ptCount val="13"/>
                <c:pt idx="0">
                  <c:v>1.3498980316300933E-3</c:v>
                </c:pt>
                <c:pt idx="1">
                  <c:v>6.2096653257761331E-3</c:v>
                </c:pt>
                <c:pt idx="2">
                  <c:v>2.2750131948179191E-2</c:v>
                </c:pt>
                <c:pt idx="3">
                  <c:v>6.6807201268858057E-2</c:v>
                </c:pt>
                <c:pt idx="4">
                  <c:v>0.15865525393145699</c:v>
                </c:pt>
                <c:pt idx="5">
                  <c:v>0.30853753872598688</c:v>
                </c:pt>
                <c:pt idx="6">
                  <c:v>0.5</c:v>
                </c:pt>
                <c:pt idx="7">
                  <c:v>0.69146246127401312</c:v>
                </c:pt>
                <c:pt idx="8">
                  <c:v>0.84134474606854304</c:v>
                </c:pt>
                <c:pt idx="9">
                  <c:v>0.93319279873114191</c:v>
                </c:pt>
                <c:pt idx="10">
                  <c:v>0.97724986805182079</c:v>
                </c:pt>
                <c:pt idx="11">
                  <c:v>0.99379033467422384</c:v>
                </c:pt>
                <c:pt idx="12">
                  <c:v>0.9986501019683699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8-4CD1-8923-07816138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84112"/>
        <c:axId val="253685072"/>
      </c:scatterChart>
      <c:valAx>
        <c:axId val="25368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85072"/>
        <c:crosses val="autoZero"/>
        <c:crossBetween val="midCat"/>
      </c:valAx>
      <c:valAx>
        <c:axId val="2536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8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DISCRETE!$A$1</c:f>
              <c:strCache>
                <c:ptCount val="1"/>
                <c:pt idx="0">
                  <c:v>bernoulli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DISCRETE!$A$2:$A$20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E-4A9D-8EC7-67D5844279DC}"/>
            </c:ext>
          </c:extLst>
        </c:ser>
        <c:ser>
          <c:idx val="1"/>
          <c:order val="1"/>
          <c:tx>
            <c:strRef>
              <c:f>DISCRETE!$B$1</c:f>
              <c:strCache>
                <c:ptCount val="1"/>
                <c:pt idx="0">
                  <c:v>binomial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DISCRETE!$B$2:$B$20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E-4A9D-8EC7-67D5844279DC}"/>
            </c:ext>
          </c:extLst>
        </c:ser>
        <c:ser>
          <c:idx val="2"/>
          <c:order val="2"/>
          <c:tx>
            <c:strRef>
              <c:f>DISCRETE!$C$1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DISCRETE!$C$2:$C$20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E-4A9D-8EC7-67D58442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482543"/>
        <c:axId val="1179483983"/>
      </c:lineChart>
      <c:catAx>
        <c:axId val="11794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83983"/>
        <c:crosses val="autoZero"/>
        <c:auto val="1"/>
        <c:lblAlgn val="ctr"/>
        <c:lblOffset val="100"/>
        <c:noMultiLvlLbl val="0"/>
      </c:catAx>
      <c:valAx>
        <c:axId val="117948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CONTINUOUS!$A$1</c:f>
              <c:strCache>
                <c:ptCount val="1"/>
                <c:pt idx="0">
                  <c:v>UNIFORM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CONTINUOUS!$A$2:$A$30</c:f>
              <c:numCache>
                <c:formatCode>General</c:formatCode>
                <c:ptCount val="29"/>
                <c:pt idx="0">
                  <c:v>5.8224583607438705</c:v>
                </c:pt>
                <c:pt idx="1">
                  <c:v>8.8393631178835204</c:v>
                </c:pt>
                <c:pt idx="2">
                  <c:v>6.0202779499388104</c:v>
                </c:pt>
                <c:pt idx="3">
                  <c:v>7.1775150624321418</c:v>
                </c:pt>
                <c:pt idx="4">
                  <c:v>1.4794013973582432</c:v>
                </c:pt>
                <c:pt idx="5">
                  <c:v>9.3493084612641795</c:v>
                </c:pt>
                <c:pt idx="6">
                  <c:v>1.2820512769997017</c:v>
                </c:pt>
                <c:pt idx="7">
                  <c:v>6.290445446950141</c:v>
                </c:pt>
                <c:pt idx="8">
                  <c:v>1.9475911169260041</c:v>
                </c:pt>
                <c:pt idx="9">
                  <c:v>4.3905693298206909</c:v>
                </c:pt>
                <c:pt idx="10">
                  <c:v>2.7193770008169449</c:v>
                </c:pt>
                <c:pt idx="11">
                  <c:v>0.9971619538388965</c:v>
                </c:pt>
                <c:pt idx="12">
                  <c:v>3.828285039103978</c:v>
                </c:pt>
                <c:pt idx="13">
                  <c:v>0.72525682239890199</c:v>
                </c:pt>
                <c:pt idx="14">
                  <c:v>0.28328169577489071</c:v>
                </c:pt>
                <c:pt idx="15">
                  <c:v>4.4355427978111965</c:v>
                </c:pt>
                <c:pt idx="16">
                  <c:v>4.0054206361352351</c:v>
                </c:pt>
                <c:pt idx="17">
                  <c:v>2.359372536195472</c:v>
                </c:pt>
                <c:pt idx="18">
                  <c:v>1.9205042687737517</c:v>
                </c:pt>
                <c:pt idx="19">
                  <c:v>9.3038295516357508</c:v>
                </c:pt>
                <c:pt idx="20">
                  <c:v>8.051331313441354</c:v>
                </c:pt>
                <c:pt idx="21">
                  <c:v>5.306287529767916</c:v>
                </c:pt>
                <c:pt idx="22">
                  <c:v>0.43383245627464095</c:v>
                </c:pt>
                <c:pt idx="23">
                  <c:v>1.8931063853243424</c:v>
                </c:pt>
                <c:pt idx="24">
                  <c:v>0.88022314658884104</c:v>
                </c:pt>
                <c:pt idx="25">
                  <c:v>3.3241463096357871</c:v>
                </c:pt>
                <c:pt idx="26">
                  <c:v>1.9312493101644435</c:v>
                </c:pt>
                <c:pt idx="27">
                  <c:v>0.83999516356422776</c:v>
                </c:pt>
                <c:pt idx="28">
                  <c:v>5.2668015886817905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D-4103-BBF3-92815936E569}"/>
            </c:ext>
          </c:extLst>
        </c:ser>
        <c:ser>
          <c:idx val="1"/>
          <c:order val="1"/>
          <c:tx>
            <c:strRef>
              <c:f>CONTINUOUS!$B$1</c:f>
              <c:strCache>
                <c:ptCount val="1"/>
                <c:pt idx="0">
                  <c:v>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CONTINUOUS!$B$2:$B$30</c:f>
              <c:numCache>
                <c:formatCode>General</c:formatCode>
                <c:ptCount val="29"/>
                <c:pt idx="0">
                  <c:v>57.888794782437074</c:v>
                </c:pt>
                <c:pt idx="1">
                  <c:v>55.173495431825444</c:v>
                </c:pt>
                <c:pt idx="2">
                  <c:v>67.732371902917393</c:v>
                </c:pt>
                <c:pt idx="3">
                  <c:v>50.946740911184008</c:v>
                </c:pt>
                <c:pt idx="4">
                  <c:v>54.323927980951332</c:v>
                </c:pt>
                <c:pt idx="5">
                  <c:v>64.905330774792048</c:v>
                </c:pt>
                <c:pt idx="6">
                  <c:v>36.804566957184086</c:v>
                </c:pt>
                <c:pt idx="7">
                  <c:v>57.378458861369744</c:v>
                </c:pt>
                <c:pt idx="8">
                  <c:v>33.435039032883282</c:v>
                </c:pt>
                <c:pt idx="9">
                  <c:v>51.477136491118358</c:v>
                </c:pt>
                <c:pt idx="10">
                  <c:v>63.963721324226292</c:v>
                </c:pt>
                <c:pt idx="11">
                  <c:v>45.413491895567589</c:v>
                </c:pt>
                <c:pt idx="12">
                  <c:v>32.911341632127844</c:v>
                </c:pt>
                <c:pt idx="13">
                  <c:v>54.521951453351079</c:v>
                </c:pt>
                <c:pt idx="14">
                  <c:v>59.178764223848361</c:v>
                </c:pt>
                <c:pt idx="15">
                  <c:v>45.751383051937779</c:v>
                </c:pt>
                <c:pt idx="16">
                  <c:v>34.012691299071243</c:v>
                </c:pt>
                <c:pt idx="17">
                  <c:v>44.006739490270512</c:v>
                </c:pt>
                <c:pt idx="18">
                  <c:v>42.175815851659593</c:v>
                </c:pt>
                <c:pt idx="19">
                  <c:v>48.50906904000923</c:v>
                </c:pt>
                <c:pt idx="20">
                  <c:v>55.422415049602705</c:v>
                </c:pt>
                <c:pt idx="21">
                  <c:v>55.491597875998224</c:v>
                </c:pt>
                <c:pt idx="22">
                  <c:v>58.257733775604265</c:v>
                </c:pt>
                <c:pt idx="23">
                  <c:v>34.146154092382886</c:v>
                </c:pt>
                <c:pt idx="24">
                  <c:v>49.271265895248632</c:v>
                </c:pt>
                <c:pt idx="25">
                  <c:v>66.581660509180281</c:v>
                </c:pt>
                <c:pt idx="26">
                  <c:v>44.530902101161686</c:v>
                </c:pt>
                <c:pt idx="27">
                  <c:v>46.092633289410124</c:v>
                </c:pt>
                <c:pt idx="28">
                  <c:v>59.07189293640986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D-4103-BBF3-92815936E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483407"/>
        <c:axId val="1187484367"/>
      </c:lineChart>
      <c:catAx>
        <c:axId val="11874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84367"/>
        <c:crosses val="autoZero"/>
        <c:auto val="1"/>
        <c:lblAlgn val="ctr"/>
        <c:lblOffset val="100"/>
        <c:noMultiLvlLbl val="0"/>
      </c:catAx>
      <c:valAx>
        <c:axId val="11874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8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</xdr:row>
      <xdr:rowOff>38100</xdr:rowOff>
    </xdr:from>
    <xdr:to>
      <xdr:col>15</xdr:col>
      <xdr:colOff>586740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97BF66-37CA-7A83-887B-D8A1F2E5D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4</xdr:row>
      <xdr:rowOff>163830</xdr:rowOff>
    </xdr:from>
    <xdr:to>
      <xdr:col>9</xdr:col>
      <xdr:colOff>236220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87BF13-6E7C-6D72-985D-EFE781F30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1</xdr:row>
      <xdr:rowOff>34290</xdr:rowOff>
    </xdr:from>
    <xdr:to>
      <xdr:col>14</xdr:col>
      <xdr:colOff>243840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8C08B-4F1B-5CBE-6CC3-BA13E91DB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171450</xdr:rowOff>
    </xdr:from>
    <xdr:to>
      <xdr:col>14</xdr:col>
      <xdr:colOff>266700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2E4CE-4D03-0C08-525F-EBFFD6BF3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0</xdr:row>
      <xdr:rowOff>179070</xdr:rowOff>
    </xdr:from>
    <xdr:to>
      <xdr:col>19</xdr:col>
      <xdr:colOff>502920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DD55E-ECCA-E315-40D4-8231C47F1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0</xdr:row>
      <xdr:rowOff>129540</xdr:rowOff>
    </xdr:from>
    <xdr:to>
      <xdr:col>12</xdr:col>
      <xdr:colOff>373380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D69E37-6D23-4C7F-4D45-8AA1DCF7D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156210</xdr:rowOff>
    </xdr:from>
    <xdr:to>
      <xdr:col>11</xdr:col>
      <xdr:colOff>289560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A114F-3F01-3216-4FE4-D14FE44F1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175260</xdr:colOff>
      <xdr:row>0</xdr:row>
      <xdr:rowOff>179070</xdr:rowOff>
    </xdr:from>
    <xdr:to>
      <xdr:col>19</xdr:col>
      <xdr:colOff>480060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F3ECF-320D-4A42-7CB3-F71EBBAEA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49530</xdr:rowOff>
    </xdr:from>
    <xdr:to>
      <xdr:col>12</xdr:col>
      <xdr:colOff>358140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5EC8B-2396-D1C8-98AD-06C5221D6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0</xdr:row>
      <xdr:rowOff>133350</xdr:rowOff>
    </xdr:from>
    <xdr:to>
      <xdr:col>20</xdr:col>
      <xdr:colOff>228600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9382B1-6E6E-0CA4-D084-AF2E75985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72390</xdr:rowOff>
    </xdr:from>
    <xdr:to>
      <xdr:col>12</xdr:col>
      <xdr:colOff>403860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D0828-D6E9-4EFA-DC66-C6EE0A4D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0</xdr:row>
      <xdr:rowOff>80010</xdr:rowOff>
    </xdr:from>
    <xdr:to>
      <xdr:col>20</xdr:col>
      <xdr:colOff>228600</xdr:colOff>
      <xdr:row>15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9139F0-8B40-D721-8FDB-B08DDDA1B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2</xdr:row>
      <xdr:rowOff>41910</xdr:rowOff>
    </xdr:from>
    <xdr:to>
      <xdr:col>12</xdr:col>
      <xdr:colOff>434340</xdr:colOff>
      <xdr:row>18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B1F9F-9357-991B-F5D9-A906A7F7E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163830</xdr:rowOff>
    </xdr:from>
    <xdr:to>
      <xdr:col>11</xdr:col>
      <xdr:colOff>45720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721FE-3546-FAF4-62C2-3B843BAAF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CC13-8359-4B3C-98B5-6DA2BFCB0CDC}">
  <dimension ref="A1:F23"/>
  <sheetViews>
    <sheetView tabSelected="1" workbookViewId="0">
      <selection activeCell="C23" sqref="C23"/>
    </sheetView>
  </sheetViews>
  <sheetFormatPr defaultRowHeight="14.4" x14ac:dyDescent="0.3"/>
  <cols>
    <col min="2" max="3" width="35.5546875" customWidth="1"/>
    <col min="4" max="4" width="17.5546875" customWidth="1"/>
  </cols>
  <sheetData>
    <row r="1" spans="1:6" ht="15.6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f>_xlfn.BINOM.DIST(A2,$E$2,$F$4,FALSE)</f>
        <v>2.4414062500000016E-4</v>
      </c>
      <c r="C2">
        <f>_xlfn.BINOM.DIST(A2,$E$2,$F$4,TRUE)</f>
        <v>2.4414062500000016E-4</v>
      </c>
      <c r="E2">
        <v>12</v>
      </c>
    </row>
    <row r="3" spans="1:6" x14ac:dyDescent="0.3">
      <c r="A3">
        <v>1</v>
      </c>
      <c r="B3">
        <f t="shared" ref="B3:B14" si="0">_xlfn.BINOM.DIST(A3,$E$2,$F$4,FALSE)</f>
        <v>2.9296874999999996E-3</v>
      </c>
      <c r="C3">
        <f t="shared" ref="C3:C14" si="1">_xlfn.BINOM.DIST(A3,$E$2,$F$4,TRUE)</f>
        <v>3.1738281250000004E-3</v>
      </c>
    </row>
    <row r="4" spans="1:6" x14ac:dyDescent="0.3">
      <c r="A4">
        <v>2</v>
      </c>
      <c r="B4">
        <f t="shared" si="0"/>
        <v>1.611328125000001E-2</v>
      </c>
      <c r="C4">
        <f t="shared" si="1"/>
        <v>1.9287109375000007E-2</v>
      </c>
      <c r="F4">
        <v>0.5</v>
      </c>
    </row>
    <row r="5" spans="1:6" x14ac:dyDescent="0.3">
      <c r="A5">
        <v>3</v>
      </c>
      <c r="B5">
        <f t="shared" si="0"/>
        <v>5.3710937499999965E-2</v>
      </c>
      <c r="C5">
        <f t="shared" si="1"/>
        <v>7.2998046875000014E-2</v>
      </c>
    </row>
    <row r="6" spans="1:6" x14ac:dyDescent="0.3">
      <c r="A6">
        <v>4</v>
      </c>
      <c r="B6">
        <f t="shared" si="0"/>
        <v>0.12084960937500001</v>
      </c>
      <c r="C6">
        <f t="shared" si="1"/>
        <v>0.19384765625</v>
      </c>
    </row>
    <row r="7" spans="1:6" x14ac:dyDescent="0.3">
      <c r="A7">
        <v>5</v>
      </c>
      <c r="B7">
        <f t="shared" si="0"/>
        <v>0.19335937500000006</v>
      </c>
      <c r="C7">
        <f t="shared" si="1"/>
        <v>0.38720703125000011</v>
      </c>
    </row>
    <row r="8" spans="1:6" x14ac:dyDescent="0.3">
      <c r="A8">
        <v>6</v>
      </c>
      <c r="B8">
        <f t="shared" si="0"/>
        <v>0.22558593750000003</v>
      </c>
      <c r="C8">
        <f t="shared" si="1"/>
        <v>0.61279296874999989</v>
      </c>
    </row>
    <row r="9" spans="1:6" x14ac:dyDescent="0.3">
      <c r="A9">
        <v>7</v>
      </c>
      <c r="B9">
        <f t="shared" si="0"/>
        <v>0.19335937500000006</v>
      </c>
      <c r="C9">
        <f t="shared" si="1"/>
        <v>0.80615234375</v>
      </c>
    </row>
    <row r="10" spans="1:6" x14ac:dyDescent="0.3">
      <c r="A10">
        <v>8</v>
      </c>
      <c r="B10">
        <f t="shared" si="0"/>
        <v>0.12084960937500001</v>
      </c>
      <c r="C10">
        <f t="shared" si="1"/>
        <v>0.927001953125</v>
      </c>
    </row>
    <row r="11" spans="1:6" x14ac:dyDescent="0.3">
      <c r="A11">
        <v>9</v>
      </c>
      <c r="B11">
        <f t="shared" si="0"/>
        <v>5.3710937499999965E-2</v>
      </c>
      <c r="C11">
        <f t="shared" si="1"/>
        <v>0.980712890625</v>
      </c>
    </row>
    <row r="12" spans="1:6" x14ac:dyDescent="0.3">
      <c r="A12">
        <v>10</v>
      </c>
      <c r="B12">
        <f t="shared" si="0"/>
        <v>1.6113281250000003E-2</v>
      </c>
      <c r="C12">
        <f t="shared" si="1"/>
        <v>0.996826171875</v>
      </c>
    </row>
    <row r="13" spans="1:6" x14ac:dyDescent="0.3">
      <c r="A13">
        <v>11</v>
      </c>
      <c r="B13">
        <f t="shared" si="0"/>
        <v>2.9296874999999996E-3</v>
      </c>
      <c r="C13">
        <f t="shared" si="1"/>
        <v>0.999755859375</v>
      </c>
    </row>
    <row r="14" spans="1:6" x14ac:dyDescent="0.3">
      <c r="A14">
        <v>12</v>
      </c>
      <c r="B14">
        <f t="shared" si="0"/>
        <v>2.4414062500000016E-4</v>
      </c>
      <c r="C14">
        <f t="shared" si="1"/>
        <v>1</v>
      </c>
    </row>
    <row r="16" spans="1:6" ht="15.6" x14ac:dyDescent="0.3">
      <c r="A16" s="2" t="s">
        <v>11</v>
      </c>
    </row>
    <row r="17" spans="1:2" x14ac:dyDescent="0.3">
      <c r="A17" s="2" t="s">
        <v>12</v>
      </c>
    </row>
    <row r="18" spans="1:2" ht="15.6" x14ac:dyDescent="0.3">
      <c r="A18" s="1" t="s">
        <v>10</v>
      </c>
    </row>
    <row r="20" spans="1:2" ht="15.6" x14ac:dyDescent="0.3">
      <c r="A20" t="s">
        <v>8</v>
      </c>
      <c r="B20" s="1">
        <v>0.12</v>
      </c>
    </row>
    <row r="21" spans="1:2" x14ac:dyDescent="0.3">
      <c r="A21" t="s">
        <v>7</v>
      </c>
      <c r="B21">
        <v>0.19</v>
      </c>
    </row>
    <row r="22" spans="1:2" x14ac:dyDescent="0.3">
      <c r="A22" t="s">
        <v>9</v>
      </c>
      <c r="B22">
        <v>0.9</v>
      </c>
    </row>
    <row r="23" spans="1:2" x14ac:dyDescent="0.3">
      <c r="A23" t="s">
        <v>6</v>
      </c>
      <c r="B23">
        <v>0.57999999999999996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D775-FFA8-436A-B864-0C360EDDB92A}">
  <dimension ref="A1:E17"/>
  <sheetViews>
    <sheetView workbookViewId="0">
      <selection activeCell="E22" sqref="E22"/>
    </sheetView>
  </sheetViews>
  <sheetFormatPr defaultRowHeight="14.4" x14ac:dyDescent="0.3"/>
  <cols>
    <col min="4" max="4" width="36.33203125" customWidth="1"/>
    <col min="5" max="5" width="18.21875" customWidth="1"/>
  </cols>
  <sheetData>
    <row r="1" spans="1:5" x14ac:dyDescent="0.3">
      <c r="A1" s="2" t="s">
        <v>13</v>
      </c>
      <c r="B1" s="2" t="s">
        <v>14</v>
      </c>
      <c r="C1" s="2" t="s">
        <v>16</v>
      </c>
      <c r="D1" s="2" t="s">
        <v>15</v>
      </c>
      <c r="E1" s="2" t="s">
        <v>17</v>
      </c>
    </row>
    <row r="2" spans="1:5" x14ac:dyDescent="0.3">
      <c r="A2">
        <v>0</v>
      </c>
      <c r="B2">
        <v>0</v>
      </c>
      <c r="C2">
        <v>5</v>
      </c>
      <c r="D2">
        <f>FACT(5)/(FACT(A2)*FACT(B2)*FACT(C2))*(0.2^A2)*(0.5^B2)*(0.3^C2)</f>
        <v>2.4299999999999999E-3</v>
      </c>
      <c r="E2" t="str">
        <f>A2&amp;","&amp;B2&amp;","&amp;C2</f>
        <v>0,0,5</v>
      </c>
    </row>
    <row r="3" spans="1:5" x14ac:dyDescent="0.3">
      <c r="A3">
        <v>0</v>
      </c>
      <c r="B3">
        <v>1</v>
      </c>
      <c r="C3">
        <v>4</v>
      </c>
      <c r="D3">
        <f t="shared" ref="D3:D8" si="0">FACT(5)/(FACT(A3)*FACT(B3)*FACT(C3))*(0.2^A3)*(0.5^B3)*(0.3^C3)</f>
        <v>2.0249999999999997E-2</v>
      </c>
      <c r="E3" t="str">
        <f t="shared" ref="E3:E8" si="1">A3&amp;","&amp;B3&amp;","&amp;C3</f>
        <v>0,1,4</v>
      </c>
    </row>
    <row r="4" spans="1:5" x14ac:dyDescent="0.3">
      <c r="A4">
        <v>0</v>
      </c>
      <c r="B4">
        <v>2</v>
      </c>
      <c r="C4">
        <v>3</v>
      </c>
      <c r="D4">
        <f t="shared" si="0"/>
        <v>6.7500000000000004E-2</v>
      </c>
      <c r="E4" t="str">
        <f t="shared" si="1"/>
        <v>0,2,3</v>
      </c>
    </row>
    <row r="5" spans="1:5" x14ac:dyDescent="0.3">
      <c r="A5">
        <v>1</v>
      </c>
      <c r="B5">
        <v>2</v>
      </c>
      <c r="C5">
        <v>2</v>
      </c>
      <c r="D5">
        <f t="shared" si="0"/>
        <v>0.13500000000000001</v>
      </c>
      <c r="E5" t="str">
        <f t="shared" si="1"/>
        <v>1,2,2</v>
      </c>
    </row>
    <row r="6" spans="1:5" x14ac:dyDescent="0.3">
      <c r="A6">
        <v>2</v>
      </c>
      <c r="B6">
        <v>2</v>
      </c>
      <c r="C6">
        <v>1</v>
      </c>
      <c r="D6">
        <f t="shared" si="0"/>
        <v>9.0000000000000011E-2</v>
      </c>
      <c r="E6" t="str">
        <f t="shared" si="1"/>
        <v>2,2,1</v>
      </c>
    </row>
    <row r="7" spans="1:5" x14ac:dyDescent="0.3">
      <c r="A7">
        <v>3</v>
      </c>
      <c r="B7">
        <v>1</v>
      </c>
      <c r="C7">
        <v>1</v>
      </c>
      <c r="D7">
        <f t="shared" si="0"/>
        <v>2.4000000000000004E-2</v>
      </c>
      <c r="E7" t="str">
        <f t="shared" si="1"/>
        <v>3,1,1</v>
      </c>
    </row>
    <row r="8" spans="1:5" x14ac:dyDescent="0.3">
      <c r="A8">
        <v>5</v>
      </c>
      <c r="B8">
        <v>0</v>
      </c>
      <c r="C8">
        <v>0</v>
      </c>
      <c r="D8">
        <f t="shared" si="0"/>
        <v>3.2000000000000019E-4</v>
      </c>
      <c r="E8" t="str">
        <f t="shared" si="1"/>
        <v>5,0,0</v>
      </c>
    </row>
    <row r="17" spans="1:1" ht="15.6" x14ac:dyDescent="0.3">
      <c r="A17" s="1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5C7F-1C8C-46FA-AA5B-A307FE27FD56}">
  <dimension ref="A1:O27"/>
  <sheetViews>
    <sheetView workbookViewId="0">
      <selection activeCell="A23" sqref="A23"/>
    </sheetView>
  </sheetViews>
  <sheetFormatPr defaultRowHeight="14.4" x14ac:dyDescent="0.3"/>
  <cols>
    <col min="1" max="1" width="11.33203125" customWidth="1"/>
    <col min="2" max="2" width="0.109375" customWidth="1"/>
    <col min="3" max="3" width="17.77734375" customWidth="1"/>
  </cols>
  <sheetData>
    <row r="1" spans="1:5" ht="15.6" x14ac:dyDescent="0.3">
      <c r="A1" s="1" t="s">
        <v>0</v>
      </c>
      <c r="C1" s="1" t="s">
        <v>15</v>
      </c>
    </row>
    <row r="2" spans="1:5" x14ac:dyDescent="0.3">
      <c r="A2">
        <v>0</v>
      </c>
      <c r="C2">
        <f>EXP(-3)*(3^A2)/FACT(A2)</f>
        <v>4.9787068367863944E-2</v>
      </c>
    </row>
    <row r="3" spans="1:5" x14ac:dyDescent="0.3">
      <c r="A3">
        <v>1</v>
      </c>
      <c r="C3">
        <v>4.9799999999999997E-2</v>
      </c>
    </row>
    <row r="4" spans="1:5" x14ac:dyDescent="0.3">
      <c r="A4">
        <v>2</v>
      </c>
      <c r="C4">
        <f t="shared" ref="C4:C10" si="0">EXP(-3)*(3^A4)/FACT(A4)</f>
        <v>0.22404180765538775</v>
      </c>
    </row>
    <row r="5" spans="1:5" x14ac:dyDescent="0.3">
      <c r="A5">
        <v>3</v>
      </c>
      <c r="C5">
        <f t="shared" si="0"/>
        <v>0.22404180765538775</v>
      </c>
    </row>
    <row r="6" spans="1:5" x14ac:dyDescent="0.3">
      <c r="A6">
        <v>4</v>
      </c>
      <c r="C6">
        <f t="shared" si="0"/>
        <v>0.16803135574154082</v>
      </c>
    </row>
    <row r="7" spans="1:5" x14ac:dyDescent="0.3">
      <c r="A7">
        <v>5</v>
      </c>
      <c r="C7">
        <f t="shared" si="0"/>
        <v>0.10081881344492448</v>
      </c>
    </row>
    <row r="8" spans="1:5" x14ac:dyDescent="0.3">
      <c r="A8">
        <v>6</v>
      </c>
      <c r="C8">
        <f t="shared" si="0"/>
        <v>5.0409406722462247E-2</v>
      </c>
    </row>
    <row r="9" spans="1:5" ht="15.6" x14ac:dyDescent="0.3">
      <c r="A9">
        <v>7</v>
      </c>
      <c r="C9">
        <f t="shared" si="0"/>
        <v>2.160403145248382E-2</v>
      </c>
      <c r="E9" s="1" t="s">
        <v>19</v>
      </c>
    </row>
    <row r="10" spans="1:5" x14ac:dyDescent="0.3">
      <c r="A10">
        <v>8</v>
      </c>
      <c r="C10">
        <f t="shared" si="0"/>
        <v>8.1015117946814322E-3</v>
      </c>
    </row>
    <row r="18" spans="1:15" x14ac:dyDescent="0.3">
      <c r="J18" s="2" t="s">
        <v>15</v>
      </c>
    </row>
    <row r="19" spans="1:15" x14ac:dyDescent="0.3">
      <c r="A19" s="2" t="s">
        <v>20</v>
      </c>
      <c r="C19">
        <v>3</v>
      </c>
    </row>
    <row r="20" spans="1:15" x14ac:dyDescent="0.3">
      <c r="A20" s="2" t="s">
        <v>0</v>
      </c>
      <c r="C20">
        <v>2</v>
      </c>
    </row>
    <row r="21" spans="1:15" x14ac:dyDescent="0.3">
      <c r="A21" s="2" t="s">
        <v>15</v>
      </c>
      <c r="C21">
        <f>EXP(-C19)*(C19^C20)/FACT(C20)</f>
        <v>0.22404180765538775</v>
      </c>
    </row>
    <row r="23" spans="1:15" ht="15.6" x14ac:dyDescent="0.3">
      <c r="A23" s="1" t="s">
        <v>22</v>
      </c>
    </row>
    <row r="24" spans="1:15" x14ac:dyDescent="0.3">
      <c r="A24" s="2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/>
      <c r="B25" s="2"/>
      <c r="C25" s="2"/>
      <c r="D25" s="2"/>
      <c r="E25" s="2"/>
    </row>
    <row r="26" spans="1:15" x14ac:dyDescent="0.3">
      <c r="A26" s="2"/>
      <c r="B26" s="2"/>
      <c r="C26" s="2"/>
      <c r="D26" s="2"/>
      <c r="E26" s="2"/>
    </row>
    <row r="27" spans="1:15" x14ac:dyDescent="0.3">
      <c r="A27" s="2"/>
      <c r="B27" s="2"/>
      <c r="C27" s="2"/>
      <c r="D27" s="2"/>
      <c r="E2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8A03-B2A6-4FE2-A67C-3BD76EA39C90}">
  <dimension ref="A1:E23"/>
  <sheetViews>
    <sheetView workbookViewId="0">
      <selection activeCell="A16" sqref="A16"/>
    </sheetView>
  </sheetViews>
  <sheetFormatPr defaultRowHeight="14.4" x14ac:dyDescent="0.3"/>
  <cols>
    <col min="1" max="1" width="16.88671875" customWidth="1"/>
    <col min="2" max="2" width="17.77734375" customWidth="1"/>
    <col min="3" max="3" width="17.6640625" customWidth="1"/>
  </cols>
  <sheetData>
    <row r="1" spans="1:5" x14ac:dyDescent="0.3">
      <c r="A1" s="2" t="s">
        <v>0</v>
      </c>
      <c r="B1" s="2" t="s">
        <v>23</v>
      </c>
      <c r="C1" s="2" t="s">
        <v>24</v>
      </c>
    </row>
    <row r="2" spans="1:5" x14ac:dyDescent="0.3">
      <c r="A2">
        <v>1</v>
      </c>
      <c r="B2">
        <f>(1-$E$2)^(A2-1)*$E$2</f>
        <v>0.3</v>
      </c>
      <c r="C2">
        <f>1-(1-$E$2)^A2</f>
        <v>0.30000000000000004</v>
      </c>
      <c r="E2">
        <v>0.3</v>
      </c>
    </row>
    <row r="3" spans="1:5" x14ac:dyDescent="0.3">
      <c r="A3">
        <v>2</v>
      </c>
      <c r="B3">
        <f t="shared" ref="B3:B11" si="0">(1-$E$2)^(A3-1)*$E$2</f>
        <v>0.21</v>
      </c>
      <c r="C3">
        <f t="shared" ref="C3:C11" si="1">1-(1-$E$2)^A3</f>
        <v>0.51</v>
      </c>
      <c r="E3">
        <v>0.7</v>
      </c>
    </row>
    <row r="4" spans="1:5" x14ac:dyDescent="0.3">
      <c r="A4">
        <v>3</v>
      </c>
      <c r="B4">
        <f t="shared" si="0"/>
        <v>0.14699999999999996</v>
      </c>
      <c r="C4">
        <f t="shared" si="1"/>
        <v>0.65700000000000003</v>
      </c>
    </row>
    <row r="5" spans="1:5" x14ac:dyDescent="0.3">
      <c r="A5">
        <v>4</v>
      </c>
      <c r="B5">
        <f t="shared" si="0"/>
        <v>0.10289999999999998</v>
      </c>
      <c r="C5">
        <f t="shared" si="1"/>
        <v>0.75990000000000002</v>
      </c>
    </row>
    <row r="6" spans="1:5" x14ac:dyDescent="0.3">
      <c r="A6">
        <v>5</v>
      </c>
      <c r="B6">
        <f t="shared" si="0"/>
        <v>7.2029999999999969E-2</v>
      </c>
      <c r="C6">
        <f t="shared" si="1"/>
        <v>0.83193000000000006</v>
      </c>
    </row>
    <row r="7" spans="1:5" x14ac:dyDescent="0.3">
      <c r="A7">
        <v>6</v>
      </c>
      <c r="B7">
        <f t="shared" si="0"/>
        <v>5.042099999999998E-2</v>
      </c>
      <c r="C7">
        <f t="shared" si="1"/>
        <v>0.88235100000000011</v>
      </c>
    </row>
    <row r="8" spans="1:5" x14ac:dyDescent="0.3">
      <c r="A8">
        <v>7</v>
      </c>
      <c r="B8">
        <f t="shared" si="0"/>
        <v>3.5294699999999984E-2</v>
      </c>
      <c r="C8">
        <f t="shared" si="1"/>
        <v>0.91764570000000001</v>
      </c>
    </row>
    <row r="9" spans="1:5" x14ac:dyDescent="0.3">
      <c r="A9">
        <v>8</v>
      </c>
      <c r="B9">
        <f t="shared" si="0"/>
        <v>2.4706289999999985E-2</v>
      </c>
      <c r="C9">
        <f t="shared" si="1"/>
        <v>0.94235199000000003</v>
      </c>
    </row>
    <row r="10" spans="1:5" x14ac:dyDescent="0.3">
      <c r="A10">
        <v>9</v>
      </c>
      <c r="B10">
        <f t="shared" si="0"/>
        <v>1.7294402999999989E-2</v>
      </c>
      <c r="C10">
        <f t="shared" si="1"/>
        <v>0.95964639299999999</v>
      </c>
    </row>
    <row r="11" spans="1:5" x14ac:dyDescent="0.3">
      <c r="A11">
        <v>10</v>
      </c>
      <c r="B11">
        <f t="shared" si="0"/>
        <v>1.2106082099999992E-2</v>
      </c>
      <c r="C11">
        <f t="shared" si="1"/>
        <v>0.97175247510000007</v>
      </c>
    </row>
    <row r="16" spans="1:5" x14ac:dyDescent="0.3">
      <c r="A16" s="2" t="s">
        <v>30</v>
      </c>
    </row>
    <row r="17" spans="1:1" x14ac:dyDescent="0.3">
      <c r="A17" t="s">
        <v>26</v>
      </c>
    </row>
    <row r="19" spans="1:1" x14ac:dyDescent="0.3">
      <c r="A19" t="s">
        <v>25</v>
      </c>
    </row>
    <row r="20" spans="1:1" x14ac:dyDescent="0.3">
      <c r="A20" s="3"/>
    </row>
    <row r="21" spans="1:1" x14ac:dyDescent="0.3">
      <c r="A21" s="3" t="s">
        <v>27</v>
      </c>
    </row>
    <row r="22" spans="1:1" x14ac:dyDescent="0.3">
      <c r="A22" s="3" t="s">
        <v>28</v>
      </c>
    </row>
    <row r="23" spans="1:1" x14ac:dyDescent="0.3">
      <c r="A23" s="3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943F-CC18-4ACF-BB04-22558353733F}">
  <dimension ref="A1:E23"/>
  <sheetViews>
    <sheetView workbookViewId="0">
      <selection activeCell="A16" sqref="A16"/>
    </sheetView>
  </sheetViews>
  <sheetFormatPr defaultRowHeight="14.4" x14ac:dyDescent="0.3"/>
  <cols>
    <col min="1" max="1" width="11.33203125" customWidth="1"/>
    <col min="2" max="2" width="19.5546875" customWidth="1"/>
    <col min="3" max="3" width="19.77734375" customWidth="1"/>
  </cols>
  <sheetData>
    <row r="1" spans="1:5" x14ac:dyDescent="0.3">
      <c r="A1" s="2" t="s">
        <v>0</v>
      </c>
      <c r="B1" s="2" t="s">
        <v>31</v>
      </c>
      <c r="C1" s="2" t="s">
        <v>32</v>
      </c>
    </row>
    <row r="2" spans="1:5" x14ac:dyDescent="0.3">
      <c r="A2">
        <v>0</v>
      </c>
      <c r="B2">
        <f>1/($E$3-$E$2)</f>
        <v>0.1</v>
      </c>
      <c r="C2">
        <f>(A2-$E$2)/($E$3-$E$2)</f>
        <v>0</v>
      </c>
      <c r="D2" s="2" t="s">
        <v>38</v>
      </c>
      <c r="E2">
        <v>0</v>
      </c>
    </row>
    <row r="3" spans="1:5" x14ac:dyDescent="0.3">
      <c r="A3">
        <v>1</v>
      </c>
      <c r="B3">
        <f t="shared" ref="B3:B12" si="0">1/($E$3-$E$2)</f>
        <v>0.1</v>
      </c>
      <c r="C3">
        <f t="shared" ref="C3:C12" si="1">(A3-$E$2)/($E$3-$E$2)</f>
        <v>0.1</v>
      </c>
      <c r="D3" s="2" t="s">
        <v>39</v>
      </c>
      <c r="E3">
        <v>10</v>
      </c>
    </row>
    <row r="4" spans="1:5" x14ac:dyDescent="0.3">
      <c r="A4">
        <v>2</v>
      </c>
      <c r="B4">
        <f t="shared" si="0"/>
        <v>0.1</v>
      </c>
      <c r="C4">
        <f t="shared" si="1"/>
        <v>0.2</v>
      </c>
    </row>
    <row r="5" spans="1:5" x14ac:dyDescent="0.3">
      <c r="A5">
        <v>3</v>
      </c>
      <c r="B5">
        <f t="shared" si="0"/>
        <v>0.1</v>
      </c>
      <c r="C5">
        <f t="shared" si="1"/>
        <v>0.3</v>
      </c>
    </row>
    <row r="6" spans="1:5" x14ac:dyDescent="0.3">
      <c r="A6">
        <v>4</v>
      </c>
      <c r="B6">
        <f t="shared" si="0"/>
        <v>0.1</v>
      </c>
      <c r="C6">
        <f t="shared" si="1"/>
        <v>0.4</v>
      </c>
    </row>
    <row r="7" spans="1:5" x14ac:dyDescent="0.3">
      <c r="A7">
        <v>5</v>
      </c>
      <c r="B7">
        <f t="shared" si="0"/>
        <v>0.1</v>
      </c>
      <c r="C7">
        <f t="shared" si="1"/>
        <v>0.5</v>
      </c>
    </row>
    <row r="8" spans="1:5" x14ac:dyDescent="0.3">
      <c r="A8">
        <v>6</v>
      </c>
      <c r="B8">
        <f t="shared" si="0"/>
        <v>0.1</v>
      </c>
      <c r="C8">
        <f t="shared" si="1"/>
        <v>0.6</v>
      </c>
    </row>
    <row r="9" spans="1:5" x14ac:dyDescent="0.3">
      <c r="A9">
        <v>7</v>
      </c>
      <c r="B9">
        <f t="shared" si="0"/>
        <v>0.1</v>
      </c>
      <c r="C9">
        <f t="shared" si="1"/>
        <v>0.7</v>
      </c>
    </row>
    <row r="10" spans="1:5" x14ac:dyDescent="0.3">
      <c r="A10">
        <v>8</v>
      </c>
      <c r="B10">
        <f t="shared" si="0"/>
        <v>0.1</v>
      </c>
      <c r="C10">
        <f t="shared" si="1"/>
        <v>0.8</v>
      </c>
    </row>
    <row r="11" spans="1:5" x14ac:dyDescent="0.3">
      <c r="A11">
        <v>9</v>
      </c>
      <c r="B11">
        <f t="shared" si="0"/>
        <v>0.1</v>
      </c>
      <c r="C11">
        <f t="shared" si="1"/>
        <v>0.9</v>
      </c>
    </row>
    <row r="12" spans="1:5" x14ac:dyDescent="0.3">
      <c r="A12">
        <v>10</v>
      </c>
      <c r="B12">
        <f t="shared" si="0"/>
        <v>0.1</v>
      </c>
      <c r="C12">
        <f t="shared" si="1"/>
        <v>1</v>
      </c>
    </row>
    <row r="16" spans="1:5" x14ac:dyDescent="0.3">
      <c r="A16" s="2" t="s">
        <v>102</v>
      </c>
    </row>
    <row r="17" spans="1:1" x14ac:dyDescent="0.3">
      <c r="A17" t="s">
        <v>33</v>
      </c>
    </row>
    <row r="19" spans="1:1" x14ac:dyDescent="0.3">
      <c r="A19" t="s">
        <v>25</v>
      </c>
    </row>
    <row r="20" spans="1:1" x14ac:dyDescent="0.3">
      <c r="A20" s="3"/>
    </row>
    <row r="21" spans="1:1" x14ac:dyDescent="0.3">
      <c r="A21" s="3" t="s">
        <v>34</v>
      </c>
    </row>
    <row r="22" spans="1:1" x14ac:dyDescent="0.3">
      <c r="A22" s="3" t="s">
        <v>35</v>
      </c>
    </row>
    <row r="23" spans="1:1" x14ac:dyDescent="0.3">
      <c r="A23" s="3" t="s">
        <v>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CDD7-8749-46CB-B8C9-3C5738C31692}">
  <dimension ref="A1:E26"/>
  <sheetViews>
    <sheetView workbookViewId="0">
      <selection activeCell="H26" sqref="H26"/>
    </sheetView>
  </sheetViews>
  <sheetFormatPr defaultRowHeight="14.4" x14ac:dyDescent="0.3"/>
  <cols>
    <col min="1" max="1" width="12.88671875" customWidth="1"/>
    <col min="2" max="2" width="13.44140625" customWidth="1"/>
    <col min="3" max="3" width="13.109375" customWidth="1"/>
  </cols>
  <sheetData>
    <row r="1" spans="1:5" x14ac:dyDescent="0.3">
      <c r="A1" s="2" t="s">
        <v>37</v>
      </c>
      <c r="B1" s="2" t="s">
        <v>31</v>
      </c>
      <c r="C1" s="2" t="s">
        <v>32</v>
      </c>
      <c r="E1" s="2" t="s">
        <v>20</v>
      </c>
    </row>
    <row r="2" spans="1:5" x14ac:dyDescent="0.3">
      <c r="A2">
        <v>0</v>
      </c>
      <c r="B2">
        <f>$E$2*EXP(-$E$2*A2)</f>
        <v>0.2</v>
      </c>
      <c r="C2">
        <f>1-EXP(-$E$2*A2)</f>
        <v>0</v>
      </c>
      <c r="E2">
        <v>0.2</v>
      </c>
    </row>
    <row r="3" spans="1:5" x14ac:dyDescent="0.3">
      <c r="A3">
        <v>1</v>
      </c>
      <c r="B3">
        <f t="shared" ref="B3:B12" si="0">$E$2*EXP(-$E$2*A3)</f>
        <v>0.16374615061559639</v>
      </c>
      <c r="C3">
        <f t="shared" ref="C3:C12" si="1">1-EXP(-$E$2*A3)</f>
        <v>0.18126924692201818</v>
      </c>
    </row>
    <row r="4" spans="1:5" x14ac:dyDescent="0.3">
      <c r="A4">
        <v>2</v>
      </c>
      <c r="B4">
        <f t="shared" si="0"/>
        <v>0.13406400920712788</v>
      </c>
      <c r="C4">
        <f t="shared" si="1"/>
        <v>0.32967995396436067</v>
      </c>
    </row>
    <row r="5" spans="1:5" x14ac:dyDescent="0.3">
      <c r="A5">
        <v>3</v>
      </c>
      <c r="B5">
        <f t="shared" si="0"/>
        <v>0.10976232721880529</v>
      </c>
      <c r="C5">
        <f t="shared" si="1"/>
        <v>0.45118836390597361</v>
      </c>
    </row>
    <row r="6" spans="1:5" x14ac:dyDescent="0.3">
      <c r="A6">
        <v>4</v>
      </c>
      <c r="B6">
        <f t="shared" si="0"/>
        <v>8.9865792823444313E-2</v>
      </c>
      <c r="C6">
        <f t="shared" si="1"/>
        <v>0.55067103588277844</v>
      </c>
    </row>
    <row r="7" spans="1:5" x14ac:dyDescent="0.3">
      <c r="A7">
        <v>5</v>
      </c>
      <c r="B7">
        <f t="shared" si="0"/>
        <v>7.357588823428847E-2</v>
      </c>
      <c r="C7">
        <f t="shared" si="1"/>
        <v>0.63212055882855767</v>
      </c>
    </row>
    <row r="8" spans="1:5" x14ac:dyDescent="0.3">
      <c r="A8">
        <v>6</v>
      </c>
      <c r="B8">
        <f t="shared" si="0"/>
        <v>6.0238842382440407E-2</v>
      </c>
      <c r="C8">
        <f t="shared" si="1"/>
        <v>0.69880578808779803</v>
      </c>
    </row>
    <row r="9" spans="1:5" x14ac:dyDescent="0.3">
      <c r="A9">
        <v>7</v>
      </c>
      <c r="B9">
        <f t="shared" si="0"/>
        <v>4.9319392788321287E-2</v>
      </c>
      <c r="C9">
        <f t="shared" si="1"/>
        <v>0.75340303605839354</v>
      </c>
    </row>
    <row r="10" spans="1:5" x14ac:dyDescent="0.3">
      <c r="A10">
        <v>8</v>
      </c>
      <c r="B10">
        <f t="shared" si="0"/>
        <v>4.0379303598931077E-2</v>
      </c>
      <c r="C10">
        <f t="shared" si="1"/>
        <v>0.79810348200534464</v>
      </c>
    </row>
    <row r="11" spans="1:5" x14ac:dyDescent="0.3">
      <c r="A11">
        <v>9</v>
      </c>
      <c r="B11">
        <f t="shared" si="0"/>
        <v>3.3059777644317306E-2</v>
      </c>
      <c r="C11">
        <f t="shared" si="1"/>
        <v>0.83470111177841344</v>
      </c>
    </row>
    <row r="12" spans="1:5" x14ac:dyDescent="0.3">
      <c r="A12">
        <v>10</v>
      </c>
      <c r="B12">
        <f t="shared" si="0"/>
        <v>2.7067056647322542E-2</v>
      </c>
      <c r="C12">
        <f t="shared" si="1"/>
        <v>0.8646647167633873</v>
      </c>
    </row>
    <row r="17" spans="1:1" x14ac:dyDescent="0.3">
      <c r="A17" s="2" t="s">
        <v>40</v>
      </c>
    </row>
    <row r="18" spans="1:1" x14ac:dyDescent="0.3">
      <c r="A18" s="2" t="s">
        <v>42</v>
      </c>
    </row>
    <row r="20" spans="1:1" ht="15.6" x14ac:dyDescent="0.3">
      <c r="A20" s="1" t="s">
        <v>41</v>
      </c>
    </row>
    <row r="22" spans="1:1" ht="15.6" x14ac:dyDescent="0.3">
      <c r="A22" s="1" t="s">
        <v>25</v>
      </c>
    </row>
    <row r="23" spans="1:1" x14ac:dyDescent="0.3">
      <c r="A23" s="3"/>
    </row>
    <row r="24" spans="1:1" x14ac:dyDescent="0.3">
      <c r="A24" s="4" t="s">
        <v>43</v>
      </c>
    </row>
    <row r="25" spans="1:1" x14ac:dyDescent="0.3">
      <c r="A25" s="4" t="s">
        <v>44</v>
      </c>
    </row>
    <row r="26" spans="1:1" x14ac:dyDescent="0.3">
      <c r="A26" s="4" t="s">
        <v>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B638-242D-4563-96BA-01A809330FD4}">
  <dimension ref="A1:E34"/>
  <sheetViews>
    <sheetView workbookViewId="0">
      <selection activeCell="D35" sqref="D35"/>
    </sheetView>
  </sheetViews>
  <sheetFormatPr defaultRowHeight="14.4" x14ac:dyDescent="0.3"/>
  <cols>
    <col min="1" max="1" width="16.21875" customWidth="1"/>
    <col min="2" max="2" width="15.88671875" customWidth="1"/>
    <col min="3" max="3" width="17.6640625" customWidth="1"/>
  </cols>
  <sheetData>
    <row r="1" spans="1:5" ht="15.6" x14ac:dyDescent="0.3">
      <c r="A1" s="1" t="s">
        <v>0</v>
      </c>
      <c r="B1" s="1" t="s">
        <v>47</v>
      </c>
      <c r="C1" s="1" t="s">
        <v>48</v>
      </c>
    </row>
    <row r="2" spans="1:5" ht="15.6" x14ac:dyDescent="0.3">
      <c r="A2">
        <v>20</v>
      </c>
      <c r="B2">
        <f>_xlfn.NORM.DIST(A2,$E$2,$E$3,FALSE)</f>
        <v>4.4318484119380076E-4</v>
      </c>
      <c r="C2">
        <f>_xlfn.NORM.DIST(A2,$E$2,$E$3,TRUE)</f>
        <v>1.3498980316300933E-3</v>
      </c>
      <c r="D2" s="1" t="s">
        <v>49</v>
      </c>
      <c r="E2">
        <v>50</v>
      </c>
    </row>
    <row r="3" spans="1:5" x14ac:dyDescent="0.3">
      <c r="A3">
        <v>25</v>
      </c>
      <c r="B3">
        <f t="shared" ref="B3:B14" si="0">_xlfn.NORM.DIST(A3,$E$2,$E$3,FALSE)</f>
        <v>1.752830049356854E-3</v>
      </c>
      <c r="C3">
        <f t="shared" ref="C3:C14" si="1">_xlfn.NORM.DIST(A3,$E$2,$E$3,TRUE)</f>
        <v>6.2096653257761331E-3</v>
      </c>
      <c r="D3" s="2" t="s">
        <v>50</v>
      </c>
      <c r="E3">
        <v>10</v>
      </c>
    </row>
    <row r="4" spans="1:5" x14ac:dyDescent="0.3">
      <c r="A4">
        <v>30</v>
      </c>
      <c r="B4">
        <f t="shared" si="0"/>
        <v>5.3990966513188061E-3</v>
      </c>
      <c r="C4">
        <f t="shared" si="1"/>
        <v>2.2750131948179191E-2</v>
      </c>
    </row>
    <row r="5" spans="1:5" x14ac:dyDescent="0.3">
      <c r="A5">
        <v>35</v>
      </c>
      <c r="B5">
        <f t="shared" si="0"/>
        <v>1.2951759566589173E-2</v>
      </c>
      <c r="C5">
        <f t="shared" si="1"/>
        <v>6.6807201268858057E-2</v>
      </c>
    </row>
    <row r="6" spans="1:5" x14ac:dyDescent="0.3">
      <c r="A6">
        <v>40</v>
      </c>
      <c r="B6">
        <f t="shared" si="0"/>
        <v>2.4197072451914336E-2</v>
      </c>
      <c r="C6">
        <f t="shared" si="1"/>
        <v>0.15865525393145699</v>
      </c>
    </row>
    <row r="7" spans="1:5" x14ac:dyDescent="0.3">
      <c r="A7">
        <v>45</v>
      </c>
      <c r="B7">
        <f t="shared" si="0"/>
        <v>3.5206532676429952E-2</v>
      </c>
      <c r="C7">
        <f t="shared" si="1"/>
        <v>0.30853753872598688</v>
      </c>
    </row>
    <row r="8" spans="1:5" x14ac:dyDescent="0.3">
      <c r="A8">
        <v>50</v>
      </c>
      <c r="B8">
        <f t="shared" si="0"/>
        <v>3.9894228040143274E-2</v>
      </c>
      <c r="C8">
        <f t="shared" si="1"/>
        <v>0.5</v>
      </c>
    </row>
    <row r="9" spans="1:5" x14ac:dyDescent="0.3">
      <c r="A9">
        <v>55</v>
      </c>
      <c r="B9">
        <f t="shared" si="0"/>
        <v>3.5206532676429952E-2</v>
      </c>
      <c r="C9">
        <f t="shared" si="1"/>
        <v>0.69146246127401312</v>
      </c>
    </row>
    <row r="10" spans="1:5" x14ac:dyDescent="0.3">
      <c r="A10">
        <v>60</v>
      </c>
      <c r="B10">
        <f t="shared" si="0"/>
        <v>2.4197072451914336E-2</v>
      </c>
      <c r="C10">
        <f t="shared" si="1"/>
        <v>0.84134474606854304</v>
      </c>
    </row>
    <row r="11" spans="1:5" x14ac:dyDescent="0.3">
      <c r="A11">
        <v>65</v>
      </c>
      <c r="B11">
        <f t="shared" si="0"/>
        <v>1.2951759566589173E-2</v>
      </c>
      <c r="C11">
        <f t="shared" si="1"/>
        <v>0.93319279873114191</v>
      </c>
    </row>
    <row r="12" spans="1:5" x14ac:dyDescent="0.3">
      <c r="A12">
        <v>70</v>
      </c>
      <c r="B12">
        <f t="shared" si="0"/>
        <v>5.3990966513188061E-3</v>
      </c>
      <c r="C12">
        <f t="shared" si="1"/>
        <v>0.97724986805182079</v>
      </c>
    </row>
    <row r="13" spans="1:5" x14ac:dyDescent="0.3">
      <c r="A13">
        <v>75</v>
      </c>
      <c r="B13">
        <f t="shared" si="0"/>
        <v>1.752830049356854E-3</v>
      </c>
      <c r="C13">
        <f t="shared" si="1"/>
        <v>0.99379033467422384</v>
      </c>
    </row>
    <row r="14" spans="1:5" x14ac:dyDescent="0.3">
      <c r="A14">
        <v>80</v>
      </c>
      <c r="B14">
        <f t="shared" si="0"/>
        <v>4.4318484119380076E-4</v>
      </c>
      <c r="C14">
        <f t="shared" si="1"/>
        <v>0.9986501019683699</v>
      </c>
    </row>
    <row r="16" spans="1:5" x14ac:dyDescent="0.3">
      <c r="D16">
        <f>_xlfn.NORM.DIST(60,50,10,TRUE)-_xlfn.NORM.DIST(40,50,10,TRUE)</f>
        <v>0.68268949213708607</v>
      </c>
    </row>
    <row r="17" spans="1:2" x14ac:dyDescent="0.3">
      <c r="A17" s="2" t="s">
        <v>53</v>
      </c>
    </row>
    <row r="19" spans="1:2" ht="15.6" x14ac:dyDescent="0.3">
      <c r="A19" s="1" t="s">
        <v>51</v>
      </c>
    </row>
    <row r="20" spans="1:2" x14ac:dyDescent="0.3">
      <c r="A20" s="3"/>
    </row>
    <row r="21" spans="1:2" x14ac:dyDescent="0.3">
      <c r="A21" s="4" t="s">
        <v>54</v>
      </c>
    </row>
    <row r="22" spans="1:2" x14ac:dyDescent="0.3">
      <c r="A22" s="4" t="s">
        <v>55</v>
      </c>
    </row>
    <row r="23" spans="1:2" x14ac:dyDescent="0.3">
      <c r="A23" s="4" t="s">
        <v>56</v>
      </c>
    </row>
    <row r="24" spans="1:2" x14ac:dyDescent="0.3">
      <c r="A24" s="2"/>
    </row>
    <row r="25" spans="1:2" ht="18" x14ac:dyDescent="0.35">
      <c r="A25" s="5" t="s">
        <v>52</v>
      </c>
    </row>
    <row r="26" spans="1:2" x14ac:dyDescent="0.3">
      <c r="A26" s="4" t="s">
        <v>57</v>
      </c>
    </row>
    <row r="28" spans="1:2" x14ac:dyDescent="0.3">
      <c r="A28" t="s">
        <v>58</v>
      </c>
      <c r="B28">
        <f>_xlfn.NORM.DIST(60,$E$2,$E$3,TRUE)-_xlfn.NORM.DIST(40,$E$2,$E$3,TRUE)</f>
        <v>0.68268949213708607</v>
      </c>
    </row>
    <row r="29" spans="1:2" x14ac:dyDescent="0.3">
      <c r="A29" t="s">
        <v>59</v>
      </c>
      <c r="B29">
        <f>1-_xlfn.NORM.DIST(70,$E$2,$E$3,TRUE)</f>
        <v>2.2750131948179209E-2</v>
      </c>
    </row>
    <row r="30" spans="1:2" x14ac:dyDescent="0.3">
      <c r="A30" t="s">
        <v>60</v>
      </c>
      <c r="B30">
        <f>_xlfn.NORM.DIST(30,$E$2,$E$3,TRUE)</f>
        <v>2.2750131948179191E-2</v>
      </c>
    </row>
    <row r="32" spans="1:2" x14ac:dyDescent="0.3">
      <c r="A32" s="2" t="s">
        <v>61</v>
      </c>
    </row>
    <row r="33" spans="1:1" x14ac:dyDescent="0.3">
      <c r="A33" s="2" t="s">
        <v>62</v>
      </c>
    </row>
    <row r="34" spans="1:1" x14ac:dyDescent="0.3">
      <c r="A34" s="2" t="s">
        <v>63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C760-347A-4104-8335-6C2235CE3BFD}">
  <dimension ref="A1:F17"/>
  <sheetViews>
    <sheetView workbookViewId="0">
      <selection activeCell="C17" sqref="C17"/>
    </sheetView>
  </sheetViews>
  <sheetFormatPr defaultRowHeight="14.4" x14ac:dyDescent="0.3"/>
  <cols>
    <col min="1" max="1" width="13.33203125" customWidth="1"/>
    <col min="2" max="2" width="15.5546875" customWidth="1"/>
    <col min="3" max="3" width="14.21875" customWidth="1"/>
  </cols>
  <sheetData>
    <row r="1" spans="1:6" x14ac:dyDescent="0.3">
      <c r="A1" s="2" t="s">
        <v>64</v>
      </c>
      <c r="B1" s="2" t="s">
        <v>66</v>
      </c>
      <c r="C1" s="2" t="s">
        <v>65</v>
      </c>
      <c r="D1" s="2" t="s">
        <v>72</v>
      </c>
      <c r="E1" s="2" t="s">
        <v>73</v>
      </c>
    </row>
    <row r="2" spans="1:6" x14ac:dyDescent="0.3">
      <c r="A2" t="s">
        <v>67</v>
      </c>
      <c r="B2">
        <v>2</v>
      </c>
      <c r="C2">
        <v>40</v>
      </c>
      <c r="D2">
        <f>B2-$B$8</f>
        <v>-4</v>
      </c>
      <c r="E2">
        <f>C2-$C$8</f>
        <v>-21</v>
      </c>
      <c r="F2">
        <f>D2*E2</f>
        <v>84</v>
      </c>
    </row>
    <row r="3" spans="1:6" x14ac:dyDescent="0.3">
      <c r="A3" t="s">
        <v>68</v>
      </c>
      <c r="B3">
        <v>4</v>
      </c>
      <c r="C3">
        <v>50</v>
      </c>
    </row>
    <row r="4" spans="1:6" x14ac:dyDescent="0.3">
      <c r="A4" t="s">
        <v>69</v>
      </c>
      <c r="B4">
        <v>6</v>
      </c>
      <c r="C4">
        <v>65</v>
      </c>
    </row>
    <row r="5" spans="1:6" x14ac:dyDescent="0.3">
      <c r="A5" t="s">
        <v>70</v>
      </c>
      <c r="B5">
        <v>8</v>
      </c>
      <c r="C5">
        <v>70</v>
      </c>
    </row>
    <row r="6" spans="1:6" x14ac:dyDescent="0.3">
      <c r="A6" t="s">
        <v>71</v>
      </c>
      <c r="B6">
        <v>10</v>
      </c>
      <c r="C6">
        <v>80</v>
      </c>
    </row>
    <row r="8" spans="1:6" ht="15.6" x14ac:dyDescent="0.3">
      <c r="A8" s="1" t="s">
        <v>74</v>
      </c>
      <c r="B8">
        <f>AVERAGE(B2:B6)</f>
        <v>6</v>
      </c>
      <c r="C8">
        <f>AVERAGE(C2:C6)</f>
        <v>61</v>
      </c>
      <c r="F8">
        <f>SUM(F2:F6)/COUNT(F2:F6)</f>
        <v>84</v>
      </c>
    </row>
    <row r="10" spans="1:6" ht="15.6" x14ac:dyDescent="0.3">
      <c r="A10" s="1" t="s">
        <v>75</v>
      </c>
    </row>
    <row r="11" spans="1:6" x14ac:dyDescent="0.3">
      <c r="A11" s="2" t="s">
        <v>76</v>
      </c>
    </row>
    <row r="12" spans="1:6" ht="28.8" x14ac:dyDescent="0.3">
      <c r="A12" s="6" t="s">
        <v>77</v>
      </c>
      <c r="B12" s="6" t="s">
        <v>78</v>
      </c>
      <c r="C12" s="6" t="s">
        <v>79</v>
      </c>
    </row>
    <row r="13" spans="1:6" x14ac:dyDescent="0.3">
      <c r="A13" s="7" t="s">
        <v>67</v>
      </c>
      <c r="B13" s="7">
        <v>2</v>
      </c>
      <c r="C13" s="7">
        <v>40</v>
      </c>
    </row>
    <row r="14" spans="1:6" x14ac:dyDescent="0.3">
      <c r="A14" s="7" t="s">
        <v>68</v>
      </c>
      <c r="B14" s="7">
        <v>4</v>
      </c>
      <c r="C14" s="7">
        <v>50</v>
      </c>
    </row>
    <row r="15" spans="1:6" x14ac:dyDescent="0.3">
      <c r="A15" s="7" t="s">
        <v>69</v>
      </c>
      <c r="B15" s="7">
        <v>6</v>
      </c>
      <c r="C15" s="7">
        <v>65</v>
      </c>
    </row>
    <row r="16" spans="1:6" x14ac:dyDescent="0.3">
      <c r="A16" s="7" t="s">
        <v>70</v>
      </c>
      <c r="B16" s="7">
        <v>8</v>
      </c>
      <c r="C16" s="7">
        <v>70</v>
      </c>
    </row>
    <row r="17" spans="1:3" x14ac:dyDescent="0.3">
      <c r="A17" s="7" t="s">
        <v>71</v>
      </c>
      <c r="B17" s="7">
        <v>10</v>
      </c>
      <c r="C17" s="7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51B0-A2E5-4367-A393-92BF2EB2ADBB}">
  <dimension ref="A1:N13"/>
  <sheetViews>
    <sheetView workbookViewId="0">
      <selection activeCell="G1" sqref="G1"/>
    </sheetView>
  </sheetViews>
  <sheetFormatPr defaultRowHeight="14.4" x14ac:dyDescent="0.3"/>
  <cols>
    <col min="4" max="4" width="12.21875" customWidth="1"/>
    <col min="5" max="5" width="13.6640625" customWidth="1"/>
    <col min="8" max="8" width="11.5546875" customWidth="1"/>
    <col min="9" max="9" width="10.77734375" customWidth="1"/>
    <col min="10" max="10" width="11.109375" customWidth="1"/>
    <col min="11" max="11" width="10.88671875" customWidth="1"/>
    <col min="12" max="12" width="32.6640625" customWidth="1"/>
  </cols>
  <sheetData>
    <row r="1" spans="1:14" ht="15.6" x14ac:dyDescent="0.3">
      <c r="A1" s="2" t="s">
        <v>46</v>
      </c>
      <c r="B1" s="2" t="s">
        <v>80</v>
      </c>
      <c r="C1" s="2" t="s">
        <v>91</v>
      </c>
      <c r="D1" s="2" t="s">
        <v>92</v>
      </c>
      <c r="E1" s="2" t="s">
        <v>93</v>
      </c>
      <c r="F1" s="1" t="s">
        <v>96</v>
      </c>
      <c r="G1" s="1" t="s">
        <v>97</v>
      </c>
      <c r="H1" s="2" t="s">
        <v>98</v>
      </c>
      <c r="I1" s="1" t="s">
        <v>99</v>
      </c>
      <c r="J1" s="1" t="s">
        <v>100</v>
      </c>
      <c r="K1" s="2" t="s">
        <v>101</v>
      </c>
      <c r="L1" s="2" t="s">
        <v>87</v>
      </c>
    </row>
    <row r="2" spans="1:14" x14ac:dyDescent="0.3">
      <c r="A2">
        <v>10</v>
      </c>
      <c r="B2">
        <v>20</v>
      </c>
      <c r="C2">
        <v>3</v>
      </c>
      <c r="D2">
        <f>A2*C2</f>
        <v>30</v>
      </c>
      <c r="E2">
        <f>B2*C2</f>
        <v>60</v>
      </c>
      <c r="F2">
        <f>A2-$D$8</f>
        <v>-17.5</v>
      </c>
      <c r="G2">
        <f>B2-$E$8</f>
        <v>-17.5</v>
      </c>
      <c r="H2" s="7">
        <f>C2*F2*G2</f>
        <v>918.75</v>
      </c>
      <c r="I2">
        <f>C2*(F2^2)</f>
        <v>918.75</v>
      </c>
      <c r="J2">
        <f>C2*(G2^2)</f>
        <v>918.75</v>
      </c>
      <c r="L2" s="3"/>
    </row>
    <row r="3" spans="1:14" x14ac:dyDescent="0.3">
      <c r="A3">
        <v>20</v>
      </c>
      <c r="B3">
        <v>30</v>
      </c>
      <c r="C3">
        <v>5</v>
      </c>
      <c r="D3">
        <f t="shared" ref="D3:D6" si="0">A3*C3</f>
        <v>100</v>
      </c>
      <c r="E3">
        <f t="shared" ref="E3:E6" si="1">B3*C3</f>
        <v>150</v>
      </c>
      <c r="F3">
        <f t="shared" ref="F3:F6" si="2">A3-$D$8</f>
        <v>-7.5</v>
      </c>
      <c r="G3">
        <f t="shared" ref="G3:G6" si="3">B3-$E$8</f>
        <v>-7.5</v>
      </c>
      <c r="H3" s="7">
        <f t="shared" ref="H3:H6" si="4">C3*F3*G3</f>
        <v>281.25</v>
      </c>
      <c r="I3">
        <f t="shared" ref="I3:I6" si="5">C3*(F3^2)</f>
        <v>281.25</v>
      </c>
      <c r="J3">
        <f t="shared" ref="J3:J6" si="6">C3*(G3^2)</f>
        <v>281.25</v>
      </c>
      <c r="L3" s="4" t="s">
        <v>88</v>
      </c>
    </row>
    <row r="4" spans="1:14" x14ac:dyDescent="0.3">
      <c r="A4">
        <v>30</v>
      </c>
      <c r="B4">
        <v>40</v>
      </c>
      <c r="C4">
        <v>7</v>
      </c>
      <c r="D4">
        <f t="shared" si="0"/>
        <v>210</v>
      </c>
      <c r="E4">
        <f t="shared" si="1"/>
        <v>280</v>
      </c>
      <c r="F4">
        <f t="shared" si="2"/>
        <v>2.5</v>
      </c>
      <c r="G4">
        <f t="shared" si="3"/>
        <v>2.5</v>
      </c>
      <c r="H4" s="7">
        <f t="shared" si="4"/>
        <v>43.75</v>
      </c>
      <c r="I4">
        <f t="shared" si="5"/>
        <v>43.75</v>
      </c>
      <c r="J4">
        <f t="shared" si="6"/>
        <v>43.75</v>
      </c>
      <c r="L4" s="4" t="s">
        <v>89</v>
      </c>
    </row>
    <row r="5" spans="1:14" x14ac:dyDescent="0.3">
      <c r="A5">
        <v>40</v>
      </c>
      <c r="B5">
        <v>50</v>
      </c>
      <c r="C5">
        <v>4</v>
      </c>
      <c r="D5">
        <f t="shared" si="0"/>
        <v>160</v>
      </c>
      <c r="E5">
        <f t="shared" si="1"/>
        <v>200</v>
      </c>
      <c r="F5">
        <f t="shared" si="2"/>
        <v>12.5</v>
      </c>
      <c r="G5">
        <f t="shared" si="3"/>
        <v>12.5</v>
      </c>
      <c r="H5" s="7">
        <f t="shared" si="4"/>
        <v>625</v>
      </c>
      <c r="I5">
        <f t="shared" si="5"/>
        <v>625</v>
      </c>
      <c r="J5">
        <f t="shared" si="6"/>
        <v>625</v>
      </c>
    </row>
    <row r="6" spans="1:14" x14ac:dyDescent="0.3">
      <c r="A6">
        <v>50</v>
      </c>
      <c r="B6">
        <v>60</v>
      </c>
      <c r="C6">
        <v>1</v>
      </c>
      <c r="D6">
        <f t="shared" si="0"/>
        <v>50</v>
      </c>
      <c r="E6">
        <f t="shared" si="1"/>
        <v>60</v>
      </c>
      <c r="F6">
        <f t="shared" si="2"/>
        <v>22.5</v>
      </c>
      <c r="G6">
        <f t="shared" si="3"/>
        <v>22.5</v>
      </c>
      <c r="H6" s="7">
        <f t="shared" si="4"/>
        <v>506.25</v>
      </c>
      <c r="I6">
        <f t="shared" si="5"/>
        <v>506.25</v>
      </c>
      <c r="J6">
        <f t="shared" si="6"/>
        <v>506.25</v>
      </c>
      <c r="L6" s="2" t="s">
        <v>90</v>
      </c>
    </row>
    <row r="7" spans="1:14" x14ac:dyDescent="0.3">
      <c r="D7" s="2" t="s">
        <v>94</v>
      </c>
      <c r="E7" s="2" t="s">
        <v>95</v>
      </c>
    </row>
    <row r="8" spans="1:14" x14ac:dyDescent="0.3">
      <c r="D8">
        <f>SUM(D2:D6)/SUM(C2:C6)</f>
        <v>27.5</v>
      </c>
      <c r="E8">
        <f>SUM(E2:E6)/SUM(C2:C6)</f>
        <v>37.5</v>
      </c>
      <c r="H8">
        <f>SUM(H2:H6)</f>
        <v>2375</v>
      </c>
      <c r="L8" s="6" t="s">
        <v>46</v>
      </c>
      <c r="M8" s="6" t="s">
        <v>80</v>
      </c>
      <c r="N8" s="6" t="s">
        <v>91</v>
      </c>
    </row>
    <row r="9" spans="1:14" x14ac:dyDescent="0.3">
      <c r="I9">
        <f>SQRT(SUM(I2:I6)*SUM(J2:J6))</f>
        <v>2375</v>
      </c>
      <c r="L9" s="7">
        <v>10</v>
      </c>
      <c r="M9" s="7">
        <v>20</v>
      </c>
      <c r="N9" s="7">
        <v>3</v>
      </c>
    </row>
    <row r="10" spans="1:14" x14ac:dyDescent="0.3">
      <c r="I10" s="2" t="s">
        <v>84</v>
      </c>
      <c r="J10">
        <f>SUM(H2:H6)/SQRT(SUM(I2:I6)*SUM(J2:J6))</f>
        <v>1</v>
      </c>
      <c r="L10" s="7">
        <v>20</v>
      </c>
      <c r="M10" s="7">
        <v>30</v>
      </c>
      <c r="N10" s="7">
        <v>5</v>
      </c>
    </row>
    <row r="11" spans="1:14" x14ac:dyDescent="0.3">
      <c r="L11" s="7">
        <v>30</v>
      </c>
      <c r="M11" s="7">
        <v>40</v>
      </c>
      <c r="N11" s="7">
        <v>7</v>
      </c>
    </row>
    <row r="12" spans="1:14" x14ac:dyDescent="0.3">
      <c r="L12" s="7">
        <v>40</v>
      </c>
      <c r="M12" s="7">
        <v>50</v>
      </c>
      <c r="N12" s="7">
        <v>4</v>
      </c>
    </row>
    <row r="13" spans="1:14" x14ac:dyDescent="0.3">
      <c r="L13" s="7">
        <v>50</v>
      </c>
      <c r="M13" s="7">
        <v>60</v>
      </c>
      <c r="N13" s="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3A78-4553-4202-A695-1DD6D10D6AB3}">
  <dimension ref="A1:H12"/>
  <sheetViews>
    <sheetView workbookViewId="0">
      <selection activeCell="D10" sqref="D10"/>
    </sheetView>
  </sheetViews>
  <sheetFormatPr defaultRowHeight="14.4" x14ac:dyDescent="0.3"/>
  <cols>
    <col min="1" max="1" width="19.77734375" customWidth="1"/>
    <col min="2" max="2" width="12.109375" customWidth="1"/>
    <col min="3" max="3" width="12.44140625" customWidth="1"/>
    <col min="4" max="4" width="11.88671875" customWidth="1"/>
    <col min="5" max="5" width="11.6640625" customWidth="1"/>
    <col min="6" max="6" width="15.5546875" customWidth="1"/>
    <col min="7" max="7" width="12.77734375" customWidth="1"/>
    <col min="8" max="8" width="13.21875" customWidth="1"/>
  </cols>
  <sheetData>
    <row r="1" spans="1:8" ht="21" x14ac:dyDescent="0.4">
      <c r="A1" s="2" t="s">
        <v>46</v>
      </c>
      <c r="B1" s="2" t="s">
        <v>80</v>
      </c>
      <c r="C1" s="1" t="s">
        <v>96</v>
      </c>
      <c r="D1" s="1" t="s">
        <v>97</v>
      </c>
      <c r="E1" s="2" t="s">
        <v>81</v>
      </c>
      <c r="F1" s="2" t="s">
        <v>83</v>
      </c>
      <c r="G1" s="2" t="s">
        <v>82</v>
      </c>
      <c r="H1" s="8" t="s">
        <v>84</v>
      </c>
    </row>
    <row r="2" spans="1:8" x14ac:dyDescent="0.3">
      <c r="A2">
        <v>2</v>
      </c>
      <c r="B2">
        <v>40</v>
      </c>
      <c r="C2">
        <f>A2-$A$8</f>
        <v>-4</v>
      </c>
      <c r="D2">
        <f>B2-$B$8</f>
        <v>-21</v>
      </c>
      <c r="E2">
        <f>C2*D2</f>
        <v>84</v>
      </c>
      <c r="F2">
        <f>C2^2</f>
        <v>16</v>
      </c>
      <c r="G2">
        <f>D2^2</f>
        <v>441</v>
      </c>
    </row>
    <row r="3" spans="1:8" x14ac:dyDescent="0.3">
      <c r="A3">
        <v>4</v>
      </c>
      <c r="B3">
        <v>50</v>
      </c>
      <c r="C3">
        <f t="shared" ref="C3:C8" si="0">A3-$A$8</f>
        <v>-2</v>
      </c>
      <c r="D3">
        <f t="shared" ref="D3:D8" si="1">B3-$B$8</f>
        <v>-11</v>
      </c>
      <c r="E3">
        <f t="shared" ref="E3:E7" si="2">C3*D3</f>
        <v>22</v>
      </c>
      <c r="F3">
        <f t="shared" ref="F3:F7" si="3">C3^2</f>
        <v>4</v>
      </c>
      <c r="G3">
        <f t="shared" ref="G3:G7" si="4">D3^2</f>
        <v>121</v>
      </c>
    </row>
    <row r="4" spans="1:8" x14ac:dyDescent="0.3">
      <c r="A4">
        <v>6</v>
      </c>
      <c r="B4">
        <v>65</v>
      </c>
      <c r="C4">
        <f t="shared" si="0"/>
        <v>0</v>
      </c>
      <c r="D4">
        <f t="shared" si="1"/>
        <v>4</v>
      </c>
      <c r="E4">
        <f t="shared" si="2"/>
        <v>0</v>
      </c>
      <c r="F4">
        <f t="shared" si="3"/>
        <v>0</v>
      </c>
      <c r="G4">
        <f t="shared" si="4"/>
        <v>16</v>
      </c>
    </row>
    <row r="5" spans="1:8" x14ac:dyDescent="0.3">
      <c r="A5">
        <v>8</v>
      </c>
      <c r="B5">
        <v>70</v>
      </c>
      <c r="C5">
        <f t="shared" si="0"/>
        <v>2</v>
      </c>
      <c r="D5">
        <f t="shared" si="1"/>
        <v>9</v>
      </c>
      <c r="E5">
        <f t="shared" si="2"/>
        <v>18</v>
      </c>
      <c r="F5">
        <f t="shared" si="3"/>
        <v>4</v>
      </c>
      <c r="G5">
        <f t="shared" si="4"/>
        <v>81</v>
      </c>
    </row>
    <row r="6" spans="1:8" x14ac:dyDescent="0.3">
      <c r="A6">
        <v>10</v>
      </c>
      <c r="B6">
        <v>80</v>
      </c>
      <c r="C6">
        <f t="shared" si="0"/>
        <v>4</v>
      </c>
      <c r="D6">
        <f t="shared" si="1"/>
        <v>19</v>
      </c>
      <c r="E6">
        <f t="shared" si="2"/>
        <v>76</v>
      </c>
      <c r="F6">
        <f t="shared" si="3"/>
        <v>16</v>
      </c>
      <c r="G6">
        <f t="shared" si="4"/>
        <v>361</v>
      </c>
    </row>
    <row r="7" spans="1:8" x14ac:dyDescent="0.3">
      <c r="C7">
        <f t="shared" si="0"/>
        <v>-6</v>
      </c>
      <c r="D7">
        <f t="shared" si="1"/>
        <v>-61</v>
      </c>
      <c r="E7">
        <f t="shared" si="2"/>
        <v>366</v>
      </c>
      <c r="F7">
        <f t="shared" si="3"/>
        <v>36</v>
      </c>
      <c r="G7">
        <f t="shared" si="4"/>
        <v>3721</v>
      </c>
    </row>
    <row r="8" spans="1:8" x14ac:dyDescent="0.3">
      <c r="A8">
        <f>AVERAGE(A2:A6)</f>
        <v>6</v>
      </c>
      <c r="B8">
        <f>AVERAGE(B2:B6)</f>
        <v>61</v>
      </c>
      <c r="C8">
        <f t="shared" si="0"/>
        <v>0</v>
      </c>
      <c r="D8">
        <f t="shared" si="1"/>
        <v>0</v>
      </c>
      <c r="E8">
        <f>SUM(E2:E6)</f>
        <v>200</v>
      </c>
      <c r="F8">
        <f>SUM(F2:F6)</f>
        <v>40</v>
      </c>
      <c r="G8">
        <f>SUM(G2:G6)</f>
        <v>1020</v>
      </c>
      <c r="H8">
        <f>E8/SQRT(F8*G8)</f>
        <v>0.99014754297667429</v>
      </c>
    </row>
    <row r="10" spans="1:8" ht="145.19999999999999" x14ac:dyDescent="0.3">
      <c r="A10" s="9" t="s">
        <v>85</v>
      </c>
      <c r="E10" s="2"/>
      <c r="F10" s="2"/>
    </row>
    <row r="12" spans="1:8" ht="18" x14ac:dyDescent="0.35">
      <c r="A12" s="5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462E-D466-4E10-869E-B876D73B074B}">
  <dimension ref="A1:O29"/>
  <sheetViews>
    <sheetView workbookViewId="0">
      <selection activeCell="D8" sqref="D8"/>
    </sheetView>
  </sheetViews>
  <sheetFormatPr defaultRowHeight="14.4" x14ac:dyDescent="0.3"/>
  <cols>
    <col min="1" max="1" width="11.77734375" customWidth="1"/>
    <col min="2" max="2" width="12.109375" customWidth="1"/>
    <col min="3" max="3" width="16.21875" customWidth="1"/>
    <col min="15" max="15" width="21.109375" customWidth="1"/>
  </cols>
  <sheetData>
    <row r="1" spans="1:15" x14ac:dyDescent="0.3">
      <c r="A1" t="s">
        <v>109</v>
      </c>
      <c r="B1" t="s">
        <v>110</v>
      </c>
      <c r="C1" t="s">
        <v>111</v>
      </c>
      <c r="O1" s="2" t="s">
        <v>107</v>
      </c>
    </row>
    <row r="2" spans="1:15" x14ac:dyDescent="0.3">
      <c r="A2">
        <f ca="1">IF(RAND()&lt;0.3,1,0)</f>
        <v>0</v>
      </c>
      <c r="B2">
        <f ca="1">_xlfn.BINOM.INV(5,0.3,RAND())</f>
        <v>1</v>
      </c>
      <c r="C2">
        <f ca="1">ROUND(-LN(RAND())*2,0)</f>
        <v>1</v>
      </c>
    </row>
    <row r="3" spans="1:15" ht="18" x14ac:dyDescent="0.35">
      <c r="A3">
        <f t="shared" ref="A3:A29" ca="1" si="0">IF(RAND()&lt;0.3,1,0)</f>
        <v>0</v>
      </c>
      <c r="B3">
        <f t="shared" ref="B3:B29" ca="1" si="1">_xlfn.BINOM.INV(5,0.3,RAND())</f>
        <v>2</v>
      </c>
      <c r="C3">
        <f t="shared" ref="C3:C29" ca="1" si="2">ROUND(-LN(RAND())*2,0)</f>
        <v>1</v>
      </c>
      <c r="O3" s="5" t="s">
        <v>103</v>
      </c>
    </row>
    <row r="4" spans="1:15" x14ac:dyDescent="0.3">
      <c r="A4">
        <f t="shared" ca="1" si="0"/>
        <v>1</v>
      </c>
      <c r="B4">
        <f t="shared" ca="1" si="1"/>
        <v>3</v>
      </c>
      <c r="C4">
        <f t="shared" ca="1" si="2"/>
        <v>1</v>
      </c>
      <c r="O4" s="3"/>
    </row>
    <row r="5" spans="1:15" x14ac:dyDescent="0.3">
      <c r="A5">
        <f t="shared" ca="1" si="0"/>
        <v>0</v>
      </c>
      <c r="B5">
        <f t="shared" ca="1" si="1"/>
        <v>1</v>
      </c>
      <c r="C5">
        <f t="shared" ca="1" si="2"/>
        <v>1</v>
      </c>
      <c r="O5" s="4" t="s">
        <v>106</v>
      </c>
    </row>
    <row r="6" spans="1:15" x14ac:dyDescent="0.3">
      <c r="A6">
        <f t="shared" ca="1" si="0"/>
        <v>1</v>
      </c>
      <c r="B6">
        <f t="shared" ca="1" si="1"/>
        <v>1</v>
      </c>
      <c r="C6">
        <f t="shared" ca="1" si="2"/>
        <v>3</v>
      </c>
      <c r="O6" s="4" t="s">
        <v>104</v>
      </c>
    </row>
    <row r="7" spans="1:15" x14ac:dyDescent="0.3">
      <c r="A7">
        <f t="shared" ca="1" si="0"/>
        <v>1</v>
      </c>
      <c r="B7">
        <f t="shared" ca="1" si="1"/>
        <v>2</v>
      </c>
      <c r="C7">
        <f t="shared" ca="1" si="2"/>
        <v>4</v>
      </c>
      <c r="O7" s="4" t="s">
        <v>105</v>
      </c>
    </row>
    <row r="8" spans="1:15" x14ac:dyDescent="0.3">
      <c r="A8">
        <f t="shared" ca="1" si="0"/>
        <v>0</v>
      </c>
      <c r="B8">
        <f t="shared" ca="1" si="1"/>
        <v>0</v>
      </c>
      <c r="C8">
        <f t="shared" ca="1" si="2"/>
        <v>1</v>
      </c>
    </row>
    <row r="9" spans="1:15" ht="72" x14ac:dyDescent="0.3">
      <c r="A9">
        <f t="shared" ca="1" si="0"/>
        <v>0</v>
      </c>
      <c r="B9">
        <f t="shared" ca="1" si="1"/>
        <v>1</v>
      </c>
      <c r="C9">
        <f t="shared" ca="1" si="2"/>
        <v>2</v>
      </c>
      <c r="O9" s="10" t="s">
        <v>108</v>
      </c>
    </row>
    <row r="10" spans="1:15" x14ac:dyDescent="0.3">
      <c r="A10">
        <f t="shared" ca="1" si="0"/>
        <v>0</v>
      </c>
      <c r="B10">
        <f t="shared" ca="1" si="1"/>
        <v>3</v>
      </c>
      <c r="C10">
        <f t="shared" ca="1" si="2"/>
        <v>2</v>
      </c>
    </row>
    <row r="11" spans="1:15" x14ac:dyDescent="0.3">
      <c r="A11">
        <f t="shared" ca="1" si="0"/>
        <v>0</v>
      </c>
      <c r="B11">
        <f t="shared" ca="1" si="1"/>
        <v>2</v>
      </c>
      <c r="C11">
        <f t="shared" ca="1" si="2"/>
        <v>1</v>
      </c>
    </row>
    <row r="12" spans="1:15" x14ac:dyDescent="0.3">
      <c r="A12">
        <f t="shared" ca="1" si="0"/>
        <v>0</v>
      </c>
      <c r="B12">
        <f t="shared" ca="1" si="1"/>
        <v>1</v>
      </c>
      <c r="C12">
        <f t="shared" ca="1" si="2"/>
        <v>2</v>
      </c>
    </row>
    <row r="13" spans="1:15" x14ac:dyDescent="0.3">
      <c r="A13">
        <f t="shared" ca="1" si="0"/>
        <v>0</v>
      </c>
      <c r="B13">
        <f t="shared" ca="1" si="1"/>
        <v>1</v>
      </c>
      <c r="C13">
        <f t="shared" ca="1" si="2"/>
        <v>1</v>
      </c>
    </row>
    <row r="14" spans="1:15" x14ac:dyDescent="0.3">
      <c r="A14">
        <f t="shared" ca="1" si="0"/>
        <v>0</v>
      </c>
      <c r="B14">
        <f t="shared" ca="1" si="1"/>
        <v>1</v>
      </c>
      <c r="C14">
        <f t="shared" ca="1" si="2"/>
        <v>6</v>
      </c>
    </row>
    <row r="15" spans="1:15" x14ac:dyDescent="0.3">
      <c r="A15">
        <f t="shared" ca="1" si="0"/>
        <v>0</v>
      </c>
      <c r="B15">
        <f t="shared" ca="1" si="1"/>
        <v>2</v>
      </c>
      <c r="C15">
        <f t="shared" ca="1" si="2"/>
        <v>1</v>
      </c>
    </row>
    <row r="16" spans="1:15" x14ac:dyDescent="0.3">
      <c r="A16">
        <f t="shared" ca="1" si="0"/>
        <v>0</v>
      </c>
      <c r="B16">
        <f t="shared" ca="1" si="1"/>
        <v>0</v>
      </c>
      <c r="C16">
        <f t="shared" ca="1" si="2"/>
        <v>4</v>
      </c>
    </row>
    <row r="17" spans="1:3" x14ac:dyDescent="0.3">
      <c r="A17">
        <f t="shared" ca="1" si="0"/>
        <v>0</v>
      </c>
      <c r="B17">
        <f t="shared" ca="1" si="1"/>
        <v>1</v>
      </c>
      <c r="C17">
        <f t="shared" ca="1" si="2"/>
        <v>0</v>
      </c>
    </row>
    <row r="18" spans="1:3" x14ac:dyDescent="0.3">
      <c r="A18">
        <f t="shared" ca="1" si="0"/>
        <v>0</v>
      </c>
      <c r="B18">
        <f t="shared" ca="1" si="1"/>
        <v>1</v>
      </c>
      <c r="C18">
        <f t="shared" ca="1" si="2"/>
        <v>0</v>
      </c>
    </row>
    <row r="19" spans="1:3" x14ac:dyDescent="0.3">
      <c r="A19">
        <f t="shared" ca="1" si="0"/>
        <v>0</v>
      </c>
      <c r="B19">
        <f t="shared" ca="1" si="1"/>
        <v>1</v>
      </c>
      <c r="C19">
        <f t="shared" ca="1" si="2"/>
        <v>5</v>
      </c>
    </row>
    <row r="20" spans="1:3" x14ac:dyDescent="0.3">
      <c r="A20">
        <f t="shared" ca="1" si="0"/>
        <v>0</v>
      </c>
      <c r="B20">
        <f t="shared" ca="1" si="1"/>
        <v>1</v>
      </c>
      <c r="C20">
        <f t="shared" ca="1" si="2"/>
        <v>2</v>
      </c>
    </row>
    <row r="21" spans="1:3" x14ac:dyDescent="0.3">
      <c r="A21">
        <f t="shared" ca="1" si="0"/>
        <v>1</v>
      </c>
      <c r="B21">
        <f t="shared" ca="1" si="1"/>
        <v>2</v>
      </c>
      <c r="C21">
        <f t="shared" ca="1" si="2"/>
        <v>0</v>
      </c>
    </row>
    <row r="22" spans="1:3" x14ac:dyDescent="0.3">
      <c r="A22">
        <f t="shared" ca="1" si="0"/>
        <v>0</v>
      </c>
      <c r="B22">
        <f t="shared" ca="1" si="1"/>
        <v>2</v>
      </c>
      <c r="C22">
        <f t="shared" ca="1" si="2"/>
        <v>2</v>
      </c>
    </row>
    <row r="23" spans="1:3" x14ac:dyDescent="0.3">
      <c r="A23">
        <f t="shared" ca="1" si="0"/>
        <v>0</v>
      </c>
      <c r="B23">
        <f t="shared" ca="1" si="1"/>
        <v>1</v>
      </c>
      <c r="C23">
        <f t="shared" ca="1" si="2"/>
        <v>0</v>
      </c>
    </row>
    <row r="24" spans="1:3" x14ac:dyDescent="0.3">
      <c r="A24">
        <f t="shared" ca="1" si="0"/>
        <v>1</v>
      </c>
      <c r="B24">
        <f t="shared" ca="1" si="1"/>
        <v>1</v>
      </c>
      <c r="C24">
        <f t="shared" ca="1" si="2"/>
        <v>2</v>
      </c>
    </row>
    <row r="25" spans="1:3" x14ac:dyDescent="0.3">
      <c r="A25">
        <f t="shared" ca="1" si="0"/>
        <v>0</v>
      </c>
      <c r="B25">
        <f t="shared" ca="1" si="1"/>
        <v>2</v>
      </c>
      <c r="C25">
        <f t="shared" ca="1" si="2"/>
        <v>1</v>
      </c>
    </row>
    <row r="26" spans="1:3" x14ac:dyDescent="0.3">
      <c r="A26">
        <f t="shared" ca="1" si="0"/>
        <v>1</v>
      </c>
      <c r="B26">
        <f t="shared" ca="1" si="1"/>
        <v>1</v>
      </c>
      <c r="C26">
        <f t="shared" ca="1" si="2"/>
        <v>4</v>
      </c>
    </row>
    <row r="27" spans="1:3" x14ac:dyDescent="0.3">
      <c r="A27">
        <f t="shared" ca="1" si="0"/>
        <v>1</v>
      </c>
      <c r="B27">
        <f t="shared" ca="1" si="1"/>
        <v>0</v>
      </c>
      <c r="C27">
        <f t="shared" ca="1" si="2"/>
        <v>0</v>
      </c>
    </row>
    <row r="28" spans="1:3" x14ac:dyDescent="0.3">
      <c r="A28">
        <f t="shared" ca="1" si="0"/>
        <v>1</v>
      </c>
      <c r="B28">
        <f t="shared" ca="1" si="1"/>
        <v>2</v>
      </c>
      <c r="C28">
        <f t="shared" ca="1" si="2"/>
        <v>6</v>
      </c>
    </row>
    <row r="29" spans="1:3" x14ac:dyDescent="0.3">
      <c r="A29">
        <f t="shared" ca="1" si="0"/>
        <v>1</v>
      </c>
      <c r="B29">
        <f t="shared" ca="1" si="1"/>
        <v>0</v>
      </c>
      <c r="C29">
        <f t="shared" ca="1" si="2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AD13-460B-4308-BA97-232F0E11DB57}">
  <dimension ref="A1:T30"/>
  <sheetViews>
    <sheetView workbookViewId="0">
      <selection activeCell="O11" sqref="O11"/>
    </sheetView>
  </sheetViews>
  <sheetFormatPr defaultRowHeight="14.4" x14ac:dyDescent="0.3"/>
  <cols>
    <col min="1" max="1" width="13.33203125" customWidth="1"/>
    <col min="2" max="2" width="15.33203125" customWidth="1"/>
  </cols>
  <sheetData>
    <row r="1" spans="1:20" x14ac:dyDescent="0.3">
      <c r="A1" t="s">
        <v>112</v>
      </c>
      <c r="B1" t="s">
        <v>113</v>
      </c>
      <c r="O1" s="2" t="s">
        <v>115</v>
      </c>
    </row>
    <row r="2" spans="1:20" ht="18" x14ac:dyDescent="0.35">
      <c r="A2">
        <f ca="1">RAND()*(10-0)+0</f>
        <v>5.8224583607438705</v>
      </c>
      <c r="B2">
        <f ca="1">_xlfn.NORM.INV(RAND(),50,10)</f>
        <v>57.888794782437074</v>
      </c>
      <c r="O2" s="5" t="s">
        <v>114</v>
      </c>
    </row>
    <row r="3" spans="1:20" x14ac:dyDescent="0.3">
      <c r="A3">
        <f t="shared" ref="A3:A30" ca="1" si="0">RAND()*(10-0)+0</f>
        <v>8.8393631178835204</v>
      </c>
      <c r="B3">
        <f t="shared" ref="B3:B30" ca="1" si="1">_xlfn.NORM.INV(RAND(),50,10)</f>
        <v>55.173495431825444</v>
      </c>
      <c r="O3" s="3"/>
    </row>
    <row r="4" spans="1:20" x14ac:dyDescent="0.3">
      <c r="A4">
        <f t="shared" ca="1" si="0"/>
        <v>6.0202779499388104</v>
      </c>
      <c r="B4">
        <f t="shared" ca="1" si="1"/>
        <v>67.732371902917393</v>
      </c>
      <c r="O4" s="4" t="s">
        <v>117</v>
      </c>
    </row>
    <row r="5" spans="1:20" ht="15.6" x14ac:dyDescent="0.3">
      <c r="A5">
        <f t="shared" ca="1" si="0"/>
        <v>7.1775150624321418</v>
      </c>
      <c r="B5">
        <f t="shared" ca="1" si="1"/>
        <v>50.946740911184008</v>
      </c>
      <c r="O5" s="11" t="s">
        <v>118</v>
      </c>
      <c r="T5" s="1" t="s">
        <v>116</v>
      </c>
    </row>
    <row r="6" spans="1:20" x14ac:dyDescent="0.3">
      <c r="A6">
        <f t="shared" ca="1" si="0"/>
        <v>1.4794013973582432</v>
      </c>
      <c r="B6">
        <f t="shared" ca="1" si="1"/>
        <v>54.323927980951332</v>
      </c>
    </row>
    <row r="7" spans="1:20" x14ac:dyDescent="0.3">
      <c r="A7">
        <f t="shared" ca="1" si="0"/>
        <v>9.3493084612641795</v>
      </c>
      <c r="B7">
        <f t="shared" ca="1" si="1"/>
        <v>64.905330774792048</v>
      </c>
    </row>
    <row r="8" spans="1:20" x14ac:dyDescent="0.3">
      <c r="A8">
        <f t="shared" ca="1" si="0"/>
        <v>1.2820512769997017</v>
      </c>
      <c r="B8">
        <f t="shared" ca="1" si="1"/>
        <v>36.804566957184086</v>
      </c>
      <c r="O8" s="2"/>
    </row>
    <row r="9" spans="1:20" x14ac:dyDescent="0.3">
      <c r="A9">
        <f t="shared" ca="1" si="0"/>
        <v>6.290445446950141</v>
      </c>
      <c r="B9">
        <f t="shared" ca="1" si="1"/>
        <v>57.378458861369744</v>
      </c>
      <c r="O9" s="3"/>
    </row>
    <row r="10" spans="1:20" x14ac:dyDescent="0.3">
      <c r="A10">
        <f t="shared" ca="1" si="0"/>
        <v>1.9475911169260041</v>
      </c>
      <c r="B10">
        <f t="shared" ca="1" si="1"/>
        <v>33.435039032883282</v>
      </c>
      <c r="O10" s="4"/>
    </row>
    <row r="11" spans="1:20" x14ac:dyDescent="0.3">
      <c r="A11">
        <f t="shared" ca="1" si="0"/>
        <v>4.3905693298206909</v>
      </c>
      <c r="B11">
        <f t="shared" ca="1" si="1"/>
        <v>51.477136491118358</v>
      </c>
      <c r="O11" s="4"/>
    </row>
    <row r="12" spans="1:20" x14ac:dyDescent="0.3">
      <c r="A12">
        <f t="shared" ca="1" si="0"/>
        <v>2.7193770008169449</v>
      </c>
      <c r="B12">
        <f t="shared" ca="1" si="1"/>
        <v>63.963721324226292</v>
      </c>
    </row>
    <row r="13" spans="1:20" x14ac:dyDescent="0.3">
      <c r="A13">
        <f t="shared" ca="1" si="0"/>
        <v>0.9971619538388965</v>
      </c>
      <c r="B13">
        <f t="shared" ca="1" si="1"/>
        <v>45.413491895567589</v>
      </c>
    </row>
    <row r="14" spans="1:20" x14ac:dyDescent="0.3">
      <c r="A14">
        <f t="shared" ca="1" si="0"/>
        <v>3.828285039103978</v>
      </c>
      <c r="B14">
        <f t="shared" ca="1" si="1"/>
        <v>32.911341632127844</v>
      </c>
    </row>
    <row r="15" spans="1:20" x14ac:dyDescent="0.3">
      <c r="A15">
        <f t="shared" ca="1" si="0"/>
        <v>0.72525682239890199</v>
      </c>
      <c r="B15">
        <f t="shared" ca="1" si="1"/>
        <v>54.521951453351079</v>
      </c>
    </row>
    <row r="16" spans="1:20" x14ac:dyDescent="0.3">
      <c r="A16">
        <f t="shared" ca="1" si="0"/>
        <v>0.28328169577489071</v>
      </c>
      <c r="B16">
        <f t="shared" ca="1" si="1"/>
        <v>59.178764223848361</v>
      </c>
    </row>
    <row r="17" spans="1:2" x14ac:dyDescent="0.3">
      <c r="A17">
        <f t="shared" ca="1" si="0"/>
        <v>4.4355427978111965</v>
      </c>
      <c r="B17">
        <f t="shared" ca="1" si="1"/>
        <v>45.751383051937779</v>
      </c>
    </row>
    <row r="18" spans="1:2" x14ac:dyDescent="0.3">
      <c r="A18">
        <f t="shared" ca="1" si="0"/>
        <v>4.0054206361352351</v>
      </c>
      <c r="B18">
        <f t="shared" ca="1" si="1"/>
        <v>34.012691299071243</v>
      </c>
    </row>
    <row r="19" spans="1:2" x14ac:dyDescent="0.3">
      <c r="A19">
        <f t="shared" ca="1" si="0"/>
        <v>2.359372536195472</v>
      </c>
      <c r="B19">
        <f t="shared" ca="1" si="1"/>
        <v>44.006739490270512</v>
      </c>
    </row>
    <row r="20" spans="1:2" x14ac:dyDescent="0.3">
      <c r="A20">
        <f t="shared" ca="1" si="0"/>
        <v>1.9205042687737517</v>
      </c>
      <c r="B20">
        <f t="shared" ca="1" si="1"/>
        <v>42.175815851659593</v>
      </c>
    </row>
    <row r="21" spans="1:2" x14ac:dyDescent="0.3">
      <c r="A21">
        <f t="shared" ca="1" si="0"/>
        <v>9.3038295516357508</v>
      </c>
      <c r="B21">
        <f t="shared" ca="1" si="1"/>
        <v>48.50906904000923</v>
      </c>
    </row>
    <row r="22" spans="1:2" x14ac:dyDescent="0.3">
      <c r="A22">
        <f t="shared" ca="1" si="0"/>
        <v>8.051331313441354</v>
      </c>
      <c r="B22">
        <f t="shared" ca="1" si="1"/>
        <v>55.422415049602705</v>
      </c>
    </row>
    <row r="23" spans="1:2" x14ac:dyDescent="0.3">
      <c r="A23">
        <f t="shared" ca="1" si="0"/>
        <v>5.306287529767916</v>
      </c>
      <c r="B23">
        <f t="shared" ca="1" si="1"/>
        <v>55.491597875998224</v>
      </c>
    </row>
    <row r="24" spans="1:2" x14ac:dyDescent="0.3">
      <c r="A24">
        <f t="shared" ca="1" si="0"/>
        <v>0.43383245627464095</v>
      </c>
      <c r="B24">
        <f t="shared" ca="1" si="1"/>
        <v>58.257733775604265</v>
      </c>
    </row>
    <row r="25" spans="1:2" x14ac:dyDescent="0.3">
      <c r="A25">
        <f t="shared" ca="1" si="0"/>
        <v>1.8931063853243424</v>
      </c>
      <c r="B25">
        <f t="shared" ca="1" si="1"/>
        <v>34.146154092382886</v>
      </c>
    </row>
    <row r="26" spans="1:2" x14ac:dyDescent="0.3">
      <c r="A26">
        <f t="shared" ca="1" si="0"/>
        <v>0.88022314658884104</v>
      </c>
      <c r="B26">
        <f t="shared" ca="1" si="1"/>
        <v>49.271265895248632</v>
      </c>
    </row>
    <row r="27" spans="1:2" x14ac:dyDescent="0.3">
      <c r="A27">
        <f t="shared" ca="1" si="0"/>
        <v>3.3241463096357871</v>
      </c>
      <c r="B27">
        <f t="shared" ca="1" si="1"/>
        <v>66.581660509180281</v>
      </c>
    </row>
    <row r="28" spans="1:2" x14ac:dyDescent="0.3">
      <c r="A28">
        <f t="shared" ca="1" si="0"/>
        <v>1.9312493101644435</v>
      </c>
      <c r="B28">
        <f t="shared" ca="1" si="1"/>
        <v>44.530902101161686</v>
      </c>
    </row>
    <row r="29" spans="1:2" x14ac:dyDescent="0.3">
      <c r="A29">
        <f t="shared" ca="1" si="0"/>
        <v>0.83999516356422776</v>
      </c>
      <c r="B29">
        <f t="shared" ca="1" si="1"/>
        <v>46.092633289410124</v>
      </c>
    </row>
    <row r="30" spans="1:2" x14ac:dyDescent="0.3">
      <c r="A30">
        <f t="shared" ca="1" si="0"/>
        <v>5.2668015886817905</v>
      </c>
      <c r="B30">
        <f t="shared" ca="1" si="1"/>
        <v>59.07189293640986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BINOMIAL</vt:lpstr>
      <vt:lpstr>MULTINOMIAL</vt:lpstr>
      <vt:lpstr>POISSON</vt:lpstr>
      <vt:lpstr>GEOMETRIC</vt:lpstr>
      <vt:lpstr>UNIFORM</vt:lpstr>
      <vt:lpstr>EXPONENTIAL</vt:lpstr>
      <vt:lpstr>NORMAL</vt:lpstr>
      <vt:lpstr>BIVARIETE</vt:lpstr>
      <vt:lpstr>CORRELATION</vt:lpstr>
      <vt:lpstr>Karl_PearsonX</vt:lpstr>
      <vt:lpstr>DISCRETE</vt:lpstr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.s</dc:creator>
  <cp:lastModifiedBy>varsha .s</cp:lastModifiedBy>
  <dcterms:created xsi:type="dcterms:W3CDTF">2026-04-18T06:18:13Z</dcterms:created>
  <dcterms:modified xsi:type="dcterms:W3CDTF">2026-04-19T04:44:55Z</dcterms:modified>
</cp:coreProperties>
</file>